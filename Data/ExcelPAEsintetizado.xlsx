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65f0061d0dd70/Escritorio/Proyecto_PAE/Data/"/>
    </mc:Choice>
  </mc:AlternateContent>
  <xr:revisionPtr revIDLastSave="940" documentId="8_{E52BE573-A6C4-49CD-8579-12CF01B71DB4}" xr6:coauthVersionLast="47" xr6:coauthVersionMax="47" xr10:uidLastSave="{4718F41D-9AED-45C5-A685-8DFAD11FC972}"/>
  <bookViews>
    <workbookView xWindow="-120" yWindow="-120" windowWidth="20730" windowHeight="11040" firstSheet="1" activeTab="4" xr2:uid="{CBECA02B-9881-416C-9658-A4FAC53A7A1B}"/>
  </bookViews>
  <sheets>
    <sheet name="%CoberturaxIED2025" sheetId="7" r:id="rId1"/>
    <sheet name="CoberturaxIED2024" sheetId="9" r:id="rId2"/>
    <sheet name="InversiónGeneral24-25" sheetId="4" r:id="rId3"/>
    <sheet name="Genero" sheetId="5" r:id="rId4"/>
    <sheet name="Accesoxgrado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9" i="9" l="1"/>
  <c r="E69" i="9" s="1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68" i="7"/>
  <c r="E68" i="7" s="1"/>
  <c r="C67" i="7"/>
  <c r="E67" i="7" s="1"/>
  <c r="C66" i="7"/>
  <c r="E66" i="7" s="1"/>
  <c r="C65" i="7"/>
  <c r="E65" i="7" s="1"/>
  <c r="C64" i="7"/>
  <c r="E64" i="7" s="1"/>
  <c r="C63" i="7"/>
  <c r="E63" i="7" s="1"/>
  <c r="C62" i="7"/>
  <c r="E62" i="7" s="1"/>
  <c r="C61" i="7"/>
  <c r="E61" i="7" s="1"/>
  <c r="C60" i="7"/>
  <c r="E60" i="7" s="1"/>
  <c r="C59" i="7"/>
  <c r="E59" i="7" s="1"/>
  <c r="C58" i="7"/>
  <c r="E58" i="7" s="1"/>
  <c r="C57" i="7"/>
  <c r="E57" i="7" s="1"/>
  <c r="C56" i="7"/>
  <c r="E56" i="7" s="1"/>
  <c r="C55" i="7"/>
  <c r="E55" i="7" s="1"/>
  <c r="C54" i="7"/>
  <c r="E54" i="7" s="1"/>
  <c r="C53" i="7"/>
  <c r="E53" i="7" s="1"/>
  <c r="C52" i="7"/>
  <c r="E52" i="7" s="1"/>
  <c r="C51" i="7"/>
  <c r="E51" i="7" s="1"/>
  <c r="C50" i="7"/>
  <c r="E50" i="7" s="1"/>
  <c r="C49" i="7"/>
  <c r="E49" i="7" s="1"/>
  <c r="C48" i="7"/>
  <c r="E48" i="7" s="1"/>
  <c r="C47" i="7"/>
  <c r="E47" i="7" s="1"/>
  <c r="C46" i="7"/>
  <c r="E46" i="7" s="1"/>
  <c r="C44" i="7"/>
  <c r="E44" i="7" s="1"/>
  <c r="C43" i="7"/>
  <c r="E43" i="7" s="1"/>
  <c r="C42" i="7"/>
  <c r="E42" i="7" s="1"/>
  <c r="C41" i="7"/>
  <c r="E41" i="7" s="1"/>
  <c r="C40" i="7"/>
  <c r="E40" i="7" s="1"/>
  <c r="C39" i="7"/>
  <c r="E39" i="7" s="1"/>
  <c r="C38" i="7"/>
  <c r="E38" i="7" s="1"/>
  <c r="C37" i="7"/>
  <c r="E37" i="7" s="1"/>
  <c r="C36" i="7"/>
  <c r="E36" i="7" s="1"/>
  <c r="C35" i="7"/>
  <c r="E35" i="7" s="1"/>
  <c r="C34" i="7"/>
  <c r="E34" i="7" s="1"/>
  <c r="C33" i="7"/>
  <c r="E33" i="7" s="1"/>
  <c r="C32" i="7"/>
  <c r="E32" i="7" s="1"/>
  <c r="C31" i="7"/>
  <c r="E31" i="7" s="1"/>
  <c r="C30" i="7"/>
  <c r="E30" i="7" s="1"/>
  <c r="C29" i="7"/>
  <c r="E29" i="7" s="1"/>
  <c r="C28" i="7"/>
  <c r="E28" i="7" s="1"/>
  <c r="C27" i="7"/>
  <c r="E27" i="7" s="1"/>
  <c r="C26" i="7"/>
  <c r="E26" i="7" s="1"/>
  <c r="C25" i="7"/>
  <c r="E25" i="7" s="1"/>
  <c r="C24" i="7"/>
  <c r="E24" i="7" s="1"/>
  <c r="C23" i="7"/>
  <c r="E23" i="7" s="1"/>
  <c r="C22" i="7"/>
  <c r="E22" i="7" s="1"/>
  <c r="C21" i="7"/>
  <c r="E21" i="7" s="1"/>
  <c r="C20" i="7"/>
  <c r="E20" i="7" s="1"/>
  <c r="C19" i="7"/>
  <c r="E19" i="7" s="1"/>
  <c r="C18" i="7"/>
  <c r="E18" i="7" s="1"/>
  <c r="C17" i="7"/>
  <c r="E17" i="7" s="1"/>
  <c r="C16" i="7"/>
  <c r="E16" i="7" s="1"/>
  <c r="C15" i="7"/>
  <c r="E15" i="7" s="1"/>
  <c r="C14" i="7"/>
  <c r="E14" i="7" s="1"/>
  <c r="C13" i="7"/>
  <c r="E13" i="7" s="1"/>
  <c r="C12" i="7"/>
  <c r="E12" i="7" s="1"/>
  <c r="C11" i="7"/>
  <c r="E11" i="7" s="1"/>
  <c r="C9" i="7"/>
  <c r="E9" i="7" s="1"/>
  <c r="C8" i="7"/>
  <c r="E8" i="7" s="1"/>
  <c r="C7" i="7"/>
  <c r="E7" i="7" s="1"/>
  <c r="C5" i="7"/>
  <c r="E5" i="7" s="1"/>
  <c r="C4" i="7"/>
  <c r="E4" i="7" s="1"/>
  <c r="C3" i="7"/>
  <c r="E3" i="7" s="1"/>
  <c r="C2" i="7"/>
  <c r="C14" i="6"/>
  <c r="C3" i="4"/>
  <c r="C69" i="7" l="1"/>
  <c r="E69" i="7" s="1"/>
  <c r="E2" i="7"/>
</calcChain>
</file>

<file path=xl/sharedStrings.xml><?xml version="1.0" encoding="utf-8"?>
<sst xmlns="http://schemas.openxmlformats.org/spreadsheetml/2006/main" count="174" uniqueCount="94">
  <si>
    <t>Institución educativa</t>
  </si>
  <si>
    <t>IED RODRIGO DE BASTIDAS</t>
  </si>
  <si>
    <t>IED JACQUELINE KENNEDY</t>
  </si>
  <si>
    <t>IED DE BONDA</t>
  </si>
  <si>
    <t>IED MAGDALENA</t>
  </si>
  <si>
    <t>IED SAN FRANCISCO JAVIER</t>
  </si>
  <si>
    <t>IED TECNICO INDUSTRIAL</t>
  </si>
  <si>
    <t>IED LAURA VICUNA</t>
  </si>
  <si>
    <t>IED LICEO SAMARIO</t>
  </si>
  <si>
    <t>IED ONDAS DEL CARIBE</t>
  </si>
  <si>
    <t>IED RODRIGO GALVAN DE BASTIDAS</t>
  </si>
  <si>
    <t>IED ESCUELA NORMAL SUPERIOR SAN PEDRO ALEJANDRINO</t>
  </si>
  <si>
    <t>IED LIBANO</t>
  </si>
  <si>
    <t>IED SAN FERNANDO</t>
  </si>
  <si>
    <t>IED EL PANDO</t>
  </si>
  <si>
    <t>I.E.D. QUINTO CENTENARIO</t>
  </si>
  <si>
    <t>IED CRISTO REY</t>
  </si>
  <si>
    <t>IED DE LA PAZ</t>
  </si>
  <si>
    <t>IED EL PARQUE</t>
  </si>
  <si>
    <t>I.E.D. ALUNA</t>
  </si>
  <si>
    <t>IED CAMILO TORRES</t>
  </si>
  <si>
    <t>IED LICEO DEL NORTE</t>
  </si>
  <si>
    <t>IED EDGARDO VIVES CAMPO</t>
  </si>
  <si>
    <t>IED 20 DE OCTUBRE</t>
  </si>
  <si>
    <t>IED JOSE LABORDE GNECCO</t>
  </si>
  <si>
    <t>IED MADRE LAURA</t>
  </si>
  <si>
    <t>IED HUGO J. BERMUDEZ</t>
  </si>
  <si>
    <t>IED JULIO JOSE CEBALLOS OSPINO</t>
  </si>
  <si>
    <t>IED LICEO DEL SUR VICTOR DE LIMA</t>
  </si>
  <si>
    <t>IED JESUS ESPELETA FAJARDO</t>
  </si>
  <si>
    <t>IED FRANCISCO DE PAULA SANTANDER</t>
  </si>
  <si>
    <t>IED PANTANO</t>
  </si>
  <si>
    <t>I.E.D. MOSQUITO</t>
  </si>
  <si>
    <t>IED TAGANGA</t>
  </si>
  <si>
    <t>IED ALFONSO LOPEZ</t>
  </si>
  <si>
    <t>IED LICEO EL SABER</t>
  </si>
  <si>
    <t>CENTRO EDUCATIVO DISTRITAL AEROMAR</t>
  </si>
  <si>
    <t>IED EL CARMEN</t>
  </si>
  <si>
    <t>I.E.D. LA QUININA</t>
  </si>
  <si>
    <t>IED 20 DE JULIO</t>
  </si>
  <si>
    <t>IED ANTONIO NARIÑO</t>
  </si>
  <si>
    <t>CENTRO EDUCATIVO DISTRITAL LA HERMOSA</t>
  </si>
  <si>
    <t xml:space="preserve">Año </t>
  </si>
  <si>
    <t xml:space="preserve">Beneficiarios </t>
  </si>
  <si>
    <t>Total general</t>
  </si>
  <si>
    <t>Almuerzo Regular</t>
  </si>
  <si>
    <t>Complemento AM</t>
  </si>
  <si>
    <t>Complemento PM</t>
  </si>
  <si>
    <t>CENTRO EDUCATIVO DISTRITAL INTERCULTURAL  ORINOCO</t>
  </si>
  <si>
    <t>I  E  D  AGROECOLOGICA  SAGRADO CORAZON DE JESUS</t>
  </si>
  <si>
    <t>I.E.D. PEDAGÓGICO DEL CARIBE</t>
  </si>
  <si>
    <t>IED  DON JACA</t>
  </si>
  <si>
    <t>IED ESCUELA NORMAL SUPERIOR MARÍA AUXILIADORA</t>
  </si>
  <si>
    <t>IED TÉCNICA INEM SIMON BOLIVAR</t>
  </si>
  <si>
    <t>INSTITUCION EDUCATIVA  DISTRITAL ANTONIO ESCOBAR CAMARGO</t>
  </si>
  <si>
    <t>INSTITUCION EDUCATIVA DISTRITAL BEATRIZ GUTIERREZ DE VIVES</t>
  </si>
  <si>
    <t>INSTITUCION EDUCATIVA DISTRITAL BUENOS AIRES</t>
  </si>
  <si>
    <t>INSTITUCION EDUCATIVA DISTRITAL GABRIELA MISTRAL</t>
  </si>
  <si>
    <t>INSTITUCION EDUCATIVA DISTRITAL GUACHACA</t>
  </si>
  <si>
    <t>INSTITUCION EDUCATIVA DISTRITAL INTERCULTURAL  BELLAVISTA</t>
  </si>
  <si>
    <t>INSTITUCION EDUCATIVA DISTRITAL INTERCULTURAL NUEVA COLOMBIA</t>
  </si>
  <si>
    <t>INSTITUCION EDUCATIVA DISTRITAL JUAN MAIGUEL DE OSUNA</t>
  </si>
  <si>
    <t>INSTITUCION EDUCATIVA DISTRITAL LA TAGUA</t>
  </si>
  <si>
    <t>INSTITUCION EDUCATIVA DISTRITAL LICEO CELEDON</t>
  </si>
  <si>
    <t>INSTITUCION EDUCATIVA DISTRITAL NICOLAS BUENAVENTURA</t>
  </si>
  <si>
    <t>INSTITUCION EDUCATIVA DISTRITAL NUEVO AMANECER CON DIOS</t>
  </si>
  <si>
    <t>INSTITUCION EDUCATIVA DISTRITAL OLIVOS</t>
  </si>
  <si>
    <t>INSTITUCION EDUCATIVA DISTRITAL ONCE DE NOVIEMBRE</t>
  </si>
  <si>
    <t>INSTITUCION EDUCATIVA DISTRITAL POZOS COLORADOS</t>
  </si>
  <si>
    <t>INSTITUCION EDUCATIVA DISTRITAL SIMON BOLIVAR DE GAIRA</t>
  </si>
  <si>
    <t>INSTITUCION EDUCATIVA DISTRITAL SIMON RODRIGUEZ</t>
  </si>
  <si>
    <t>INSTITUCION EDUCATIVA DISTRITAL TÉCNICA DE MINCA</t>
  </si>
  <si>
    <t>INSTITUCION EDUCATIVO DISTRITAL DE PALOMINITO</t>
  </si>
  <si>
    <t>INSTITUCION EDUCATIVO DISTRITAL JHON F KENNEDY</t>
  </si>
  <si>
    <t>Institución</t>
  </si>
  <si>
    <t>Año</t>
  </si>
  <si>
    <t>inversión</t>
  </si>
  <si>
    <t>Aumento</t>
  </si>
  <si>
    <t xml:space="preserve">Matriculados </t>
  </si>
  <si>
    <t>%Cobertura</t>
  </si>
  <si>
    <t>TotalGeneralBeneficiaros</t>
  </si>
  <si>
    <t>Matriculados</t>
  </si>
  <si>
    <t>IED ANTONIO ESCOBAR CAMARGO</t>
  </si>
  <si>
    <t>matriculados</t>
  </si>
  <si>
    <t>%cobertura gobal</t>
  </si>
  <si>
    <t>Genero</t>
  </si>
  <si>
    <t>Fememino</t>
  </si>
  <si>
    <t>masculino</t>
  </si>
  <si>
    <t xml:space="preserve">Cantidad </t>
  </si>
  <si>
    <t>total</t>
  </si>
  <si>
    <t>%</t>
  </si>
  <si>
    <t>Grado</t>
  </si>
  <si>
    <t>Beneficiarios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</si>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</sst>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0" xfId="0" applyFont="1" applyFill="1"/>
    <xf numFmtId="0" fontId="3" fillId="0" borderId="0" xfId="0" applyFo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9" fontId="3" fillId="0" borderId="0" xfId="1" applyFont="1"/>
    <xf numFmtId="9" fontId="3" fillId="2" borderId="0" xfId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1765f0061d0dd70/Escritorio/Proyecto_PAE/Data/Dataset_PAE_limpio.xlsx" TargetMode="External"/><Relationship Id="rId1" Type="http://schemas.openxmlformats.org/officeDocument/2006/relationships/externalLinkPath" Target="Dataset_PAE_limp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o2025"/>
      <sheetName val="PrioriSimat2025"/>
      <sheetName val="xgrado2024"/>
      <sheetName val="PrioriSimat2024"/>
      <sheetName val="Focalizados2024"/>
      <sheetName val="Focalizacion_presup2024"/>
      <sheetName val="Focalizacion_presup2025"/>
      <sheetName val="Presupuesto_indigena2024"/>
      <sheetName val="presupuesto_Indigena2023"/>
      <sheetName val="Fuentes_financiación2025"/>
      <sheetName val="Fuentes_financiación2024"/>
      <sheetName val="Beneficiarios2025"/>
      <sheetName val="Total_matricula2024"/>
      <sheetName val="Total_matricula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Institución educativa</v>
          </cell>
          <cell r="B1" t="str">
            <v>Matrículados</v>
          </cell>
        </row>
        <row r="2">
          <cell r="A2" t="str">
            <v>IED RODRIGO DE BASTIDAS</v>
          </cell>
          <cell r="B2">
            <v>3211</v>
          </cell>
        </row>
        <row r="3">
          <cell r="A3" t="str">
            <v>IED TÉCNICA INEM SIMON BOLIVAR</v>
          </cell>
          <cell r="B3">
            <v>2546</v>
          </cell>
        </row>
        <row r="4">
          <cell r="A4" t="str">
            <v>IED DE BONDA</v>
          </cell>
          <cell r="B4">
            <v>2129</v>
          </cell>
        </row>
        <row r="5">
          <cell r="A5" t="str">
            <v>INSTITUCION EDUCATIVA DISTRITAL ONCE DE NOVIEMBRE</v>
          </cell>
          <cell r="B5">
            <v>2616</v>
          </cell>
        </row>
        <row r="6">
          <cell r="A6" t="str">
            <v>IED JACQUELINE KENNEDY</v>
          </cell>
          <cell r="B6">
            <v>2546</v>
          </cell>
        </row>
        <row r="7">
          <cell r="A7" t="str">
            <v>IED MAGDALENA</v>
          </cell>
          <cell r="B7">
            <v>2332</v>
          </cell>
        </row>
        <row r="8">
          <cell r="A8" t="str">
            <v>IED LIBANO</v>
          </cell>
          <cell r="B8">
            <v>2067</v>
          </cell>
        </row>
        <row r="9">
          <cell r="A9" t="str">
            <v>IED TECNICO INDUSTRIAL</v>
          </cell>
          <cell r="B9">
            <v>1727</v>
          </cell>
        </row>
        <row r="10">
          <cell r="A10" t="str">
            <v>IED ONDAS DEL CARIBE</v>
          </cell>
          <cell r="B10">
            <v>1925</v>
          </cell>
        </row>
        <row r="11">
          <cell r="A11" t="str">
            <v>IED LAURA VICUNA</v>
          </cell>
          <cell r="B11">
            <v>1998</v>
          </cell>
        </row>
        <row r="12">
          <cell r="A12" t="str">
            <v>INSTITUCION EDUCATIVA DISTRITAL NICOLAS BUENAVENTURA</v>
          </cell>
          <cell r="B12">
            <v>2130</v>
          </cell>
        </row>
        <row r="13">
          <cell r="A13" t="str">
            <v>IED LICEO SAMARIO</v>
          </cell>
          <cell r="B13">
            <v>1966</v>
          </cell>
        </row>
        <row r="14">
          <cell r="A14" t="str">
            <v>IED RODRIGO GALVAN DE BASTIDAS</v>
          </cell>
          <cell r="B14">
            <v>1797</v>
          </cell>
        </row>
        <row r="15">
          <cell r="A15" t="str">
            <v>IED ESCUELA NORMAL SUPERIOR SAN PEDRO ALEJANDRINO</v>
          </cell>
          <cell r="B15">
            <v>1878</v>
          </cell>
        </row>
        <row r="16">
          <cell r="A16" t="str">
            <v>I.E.D. PEDAGÓGICO DEL CARIBE</v>
          </cell>
          <cell r="B16">
            <v>1866</v>
          </cell>
        </row>
        <row r="17">
          <cell r="A17" t="str">
            <v>IED SAN FERNANDO</v>
          </cell>
          <cell r="B17">
            <v>1921</v>
          </cell>
        </row>
        <row r="18">
          <cell r="A18" t="str">
            <v>IED DE LA PAZ</v>
          </cell>
          <cell r="B18">
            <v>1314</v>
          </cell>
        </row>
        <row r="19">
          <cell r="A19" t="str">
            <v>INSTITUCION EDUCATIVA DISTRITAL JUAN MAIGUEL DE OSUNA</v>
          </cell>
          <cell r="B19">
            <v>1629</v>
          </cell>
        </row>
        <row r="20">
          <cell r="A20" t="str">
            <v>IED EL PARQUE</v>
          </cell>
          <cell r="B20">
            <v>1796</v>
          </cell>
        </row>
        <row r="21">
          <cell r="A21" t="str">
            <v>IED CRISTO REY</v>
          </cell>
          <cell r="B21">
            <v>1431</v>
          </cell>
        </row>
        <row r="22">
          <cell r="A22" t="str">
            <v>IED EL PANDO</v>
          </cell>
          <cell r="B22">
            <v>1773</v>
          </cell>
        </row>
        <row r="23">
          <cell r="A23" t="str">
            <v>INSTITUCION EDUCATIVA DISTRITAL NUEVO AMANECER CON DIOS</v>
          </cell>
          <cell r="B23">
            <v>1532</v>
          </cell>
        </row>
        <row r="24">
          <cell r="A24" t="str">
            <v>IED CAMILO TORRES</v>
          </cell>
          <cell r="B24">
            <v>1609</v>
          </cell>
        </row>
        <row r="25">
          <cell r="A25" t="str">
            <v xml:space="preserve">IE ETNOEDUC. LA REVUELTA </v>
          </cell>
          <cell r="B25">
            <v>1075</v>
          </cell>
        </row>
        <row r="26">
          <cell r="A26" t="str">
            <v>IED ESCUELA NORMAL SUPERIOR MARÍA AUXILIADORA</v>
          </cell>
          <cell r="B26">
            <v>1621</v>
          </cell>
        </row>
        <row r="27">
          <cell r="A27" t="str">
            <v>IED LICEO DEL NORTE</v>
          </cell>
          <cell r="B27">
            <v>1523</v>
          </cell>
        </row>
        <row r="28">
          <cell r="A28" t="str">
            <v>IED 20 DE OCTUBRE</v>
          </cell>
          <cell r="B28">
            <v>1372</v>
          </cell>
        </row>
        <row r="29">
          <cell r="A29" t="str">
            <v>IED JOSE LABORDE GNECCO</v>
          </cell>
          <cell r="B29">
            <v>1259</v>
          </cell>
        </row>
        <row r="30">
          <cell r="A30" t="str">
            <v>IED MADRE LAURA</v>
          </cell>
          <cell r="B30">
            <v>1218</v>
          </cell>
        </row>
        <row r="31">
          <cell r="A31" t="str">
            <v>IED EDGARDO VIVES CAMPO</v>
          </cell>
          <cell r="B31">
            <v>1325</v>
          </cell>
        </row>
        <row r="32">
          <cell r="A32" t="str">
            <v>INSTITUCION EDUCATIVA DISTRITAL GUACHACA</v>
          </cell>
          <cell r="B32">
            <v>837</v>
          </cell>
        </row>
        <row r="33">
          <cell r="A33" t="str">
            <v>IED HUGO J. BERMUDEZ</v>
          </cell>
          <cell r="B33">
            <v>1178</v>
          </cell>
        </row>
        <row r="34">
          <cell r="A34" t="str">
            <v>IED JESUS ESPELETA FAJARDO</v>
          </cell>
          <cell r="B34">
            <v>1025</v>
          </cell>
        </row>
        <row r="35">
          <cell r="A35" t="str">
            <v>IED JULIO JOSE CEBALLOS OSPINO</v>
          </cell>
          <cell r="B35">
            <v>793</v>
          </cell>
        </row>
        <row r="36">
          <cell r="A36" t="str">
            <v>INSTITUCION EDUCATIVA DISTRITAL SIMON BOLIVAR DE GAIRA</v>
          </cell>
          <cell r="B36">
            <v>1035</v>
          </cell>
        </row>
        <row r="37">
          <cell r="A37" t="str">
            <v>INSTITUCION EDUCATIVO DISTRITAL JHON F KENNEDY</v>
          </cell>
          <cell r="B37">
            <v>823</v>
          </cell>
        </row>
        <row r="38">
          <cell r="A38" t="str">
            <v>INSTITUCION EDUCATIVA DISTRITAL INTERCULTURAL NUEVA COLOMBIA</v>
          </cell>
          <cell r="B38">
            <v>572</v>
          </cell>
        </row>
        <row r="39">
          <cell r="A39" t="str">
            <v>IED LICEO DEL SUR VICTOR DE LIMA</v>
          </cell>
          <cell r="B39">
            <v>1025</v>
          </cell>
        </row>
        <row r="40">
          <cell r="A40" t="str">
            <v xml:space="preserve">IE ETNOEDUC. EL MAMEY </v>
          </cell>
          <cell r="B40">
            <v>703</v>
          </cell>
        </row>
        <row r="41">
          <cell r="A41" t="str">
            <v>INSTITUCION EDUCATIVA DISTRITAL SIMON RODRIGUEZ</v>
          </cell>
          <cell r="B41">
            <v>977</v>
          </cell>
        </row>
        <row r="42">
          <cell r="A42" t="str">
            <v>IED PANTANO</v>
          </cell>
          <cell r="B42">
            <v>1012</v>
          </cell>
        </row>
        <row r="43">
          <cell r="A43" t="str">
            <v>INSTITUCION EDUCATIVA DISTRITAL TÉCNICA DE MINCA</v>
          </cell>
          <cell r="B43">
            <v>515</v>
          </cell>
        </row>
        <row r="44">
          <cell r="A44" t="str">
            <v>IE ETNOEDUC. BUNKWIMAKE</v>
          </cell>
          <cell r="B44">
            <v>613</v>
          </cell>
        </row>
        <row r="45">
          <cell r="A45" t="str">
            <v>INSTITUCION EDUCATIVA DISTRITAL POZOS COLORADOS</v>
          </cell>
          <cell r="B45">
            <v>922</v>
          </cell>
        </row>
        <row r="46">
          <cell r="A46" t="str">
            <v>IED TAGANGA</v>
          </cell>
          <cell r="B46">
            <v>739</v>
          </cell>
        </row>
        <row r="47">
          <cell r="A47" t="str">
            <v>IETD KOGI DE MULKWAKUNGUI</v>
          </cell>
          <cell r="B47">
            <v>557</v>
          </cell>
        </row>
        <row r="48">
          <cell r="A48" t="str">
            <v>IED FRANCISCO DE PAULA SANTANDER</v>
          </cell>
          <cell r="B48">
            <v>743</v>
          </cell>
        </row>
        <row r="49">
          <cell r="A49" t="str">
            <v>I.E.D. MOSQUITO</v>
          </cell>
          <cell r="B49">
            <v>610</v>
          </cell>
        </row>
        <row r="50">
          <cell r="A50" t="str">
            <v>INSTITUCION EDUCATIVO DISTRITAL DE PALOMINITO</v>
          </cell>
          <cell r="B50">
            <v>496</v>
          </cell>
        </row>
        <row r="51">
          <cell r="A51" t="str">
            <v>INSTITUCION EDUCATIVA DISTRITAL INTERCULTURAL  BELLAVISTA</v>
          </cell>
          <cell r="B51">
            <v>529</v>
          </cell>
        </row>
        <row r="52">
          <cell r="A52" t="str">
            <v>IE ETNOEDUC. ZALEMAKU SERTUGA</v>
          </cell>
          <cell r="B52">
            <v>381</v>
          </cell>
        </row>
        <row r="53">
          <cell r="A53" t="str">
            <v>INSTITUCION EDUCATIVA DISTRITAL GABRIELA MISTRAL</v>
          </cell>
          <cell r="B53">
            <v>603</v>
          </cell>
        </row>
        <row r="54">
          <cell r="A54" t="str">
            <v>IED ALFONSO LOPEZ</v>
          </cell>
          <cell r="B54">
            <v>697</v>
          </cell>
        </row>
        <row r="55">
          <cell r="A55" t="str">
            <v>INSTITUCION EDUCATIVA DISTRITAL BEATRIZ GUTIERREZ DE VIVES</v>
          </cell>
          <cell r="B55">
            <v>688</v>
          </cell>
        </row>
        <row r="56">
          <cell r="A56" t="str">
            <v>INSTITUCION EDUCATIVA DISTRITAL BUENOS AIRES</v>
          </cell>
          <cell r="B56">
            <v>458</v>
          </cell>
        </row>
        <row r="57">
          <cell r="A57" t="str">
            <v>INSTITUCION EDUCATIVA DISTRITAL OLIVOS</v>
          </cell>
          <cell r="B57">
            <v>677</v>
          </cell>
        </row>
        <row r="58">
          <cell r="A58" t="str">
            <v>IED EL CARMEN</v>
          </cell>
          <cell r="B58">
            <v>643</v>
          </cell>
        </row>
        <row r="59">
          <cell r="A59" t="str">
            <v>INSTITUCION EDUCATIVA DISTRITAL LICEO CELEDON</v>
          </cell>
          <cell r="B59">
            <v>522</v>
          </cell>
        </row>
        <row r="60">
          <cell r="A60" t="str">
            <v>CENTRO EDUCATIVO DISTRITAL AEROMAR</v>
          </cell>
          <cell r="B60">
            <v>455</v>
          </cell>
        </row>
        <row r="61">
          <cell r="A61" t="str">
            <v>IED LICEO EL SABER</v>
          </cell>
          <cell r="B61">
            <v>559</v>
          </cell>
        </row>
        <row r="62">
          <cell r="A62" t="str">
            <v>IED ANTONIO ESCOBAR CAMARGO</v>
          </cell>
          <cell r="B62">
            <v>351</v>
          </cell>
        </row>
        <row r="63">
          <cell r="A63" t="str">
            <v>I.E.D. LA QUININA</v>
          </cell>
          <cell r="B63">
            <v>391</v>
          </cell>
        </row>
        <row r="64">
          <cell r="A64" t="str">
            <v>IED 20 DE JULIO</v>
          </cell>
          <cell r="B64">
            <v>460</v>
          </cell>
        </row>
        <row r="65">
          <cell r="A65" t="str">
            <v>CENTRO EDUCATIVO DISTRITAL INTERCULTURAL  ORINOCO</v>
          </cell>
          <cell r="B65">
            <v>354</v>
          </cell>
        </row>
        <row r="66">
          <cell r="A66" t="str">
            <v>IED ANTONIO NARIÑO</v>
          </cell>
          <cell r="B66">
            <v>290</v>
          </cell>
        </row>
        <row r="67">
          <cell r="A67" t="str">
            <v>IED  DON JACA</v>
          </cell>
          <cell r="B67">
            <v>219</v>
          </cell>
        </row>
        <row r="68">
          <cell r="A68" t="str">
            <v>I  E  D  AGROECOLOGICA  SAGRADO CORAZON DE JESUS</v>
          </cell>
          <cell r="B68">
            <v>175</v>
          </cell>
        </row>
        <row r="69">
          <cell r="A69" t="str">
            <v>INSTITUCION EDUCATIVA DISTRITAL LA TAGUA</v>
          </cell>
          <cell r="B69">
            <v>100</v>
          </cell>
        </row>
        <row r="70">
          <cell r="A70" t="str">
            <v>CENTRO EDUCATIVO DISTRITAL LA HERMOSA</v>
          </cell>
          <cell r="B70">
            <v>137</v>
          </cell>
        </row>
        <row r="71">
          <cell r="A71" t="str">
            <v>CENTRO ETNOEDUCATIVO DISTRITAL NARAKAJMANTA</v>
          </cell>
          <cell r="B71">
            <v>25</v>
          </cell>
        </row>
        <row r="72">
          <cell r="B72">
            <v>79021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61E6-A3A0-46DE-90C4-C33103102666}">
  <dimension ref="A1:I69"/>
  <sheetViews>
    <sheetView workbookViewId="0">
      <selection activeCell="E14" sqref="E14"/>
    </sheetView>
  </sheetViews>
  <sheetFormatPr baseColWidth="10" defaultRowHeight="15" x14ac:dyDescent="0.25"/>
  <cols>
    <col min="2" max="2" width="63.42578125" bestFit="1" customWidth="1"/>
    <col min="3" max="3" width="12.5703125" bestFit="1" customWidth="1"/>
    <col min="4" max="4" width="24.140625" bestFit="1" customWidth="1"/>
    <col min="5" max="5" width="11.7109375" style="3" bestFit="1" customWidth="1"/>
    <col min="6" max="6" width="16.85546875" bestFit="1" customWidth="1"/>
    <col min="7" max="8" width="17.28515625" bestFit="1" customWidth="1"/>
  </cols>
  <sheetData>
    <row r="1" spans="1:9" x14ac:dyDescent="0.25">
      <c r="A1" s="10" t="s">
        <v>42</v>
      </c>
      <c r="B1" s="10" t="s">
        <v>0</v>
      </c>
      <c r="C1" s="10" t="s">
        <v>81</v>
      </c>
      <c r="D1" s="10" t="s">
        <v>80</v>
      </c>
      <c r="E1" s="13" t="s">
        <v>79</v>
      </c>
      <c r="F1" s="10" t="s">
        <v>45</v>
      </c>
      <c r="G1" s="10" t="s">
        <v>46</v>
      </c>
      <c r="H1" s="10" t="s">
        <v>47</v>
      </c>
      <c r="I1" s="10"/>
    </row>
    <row r="2" spans="1:9" x14ac:dyDescent="0.25">
      <c r="A2">
        <v>2025</v>
      </c>
      <c r="B2" t="s">
        <v>36</v>
      </c>
      <c r="C2">
        <f>_xlfn.XLOOKUP(B2,[1]Total_matricula2025!$A:$A,[1]Total_matricula2025!$B:$B,"No encontrado")</f>
        <v>455</v>
      </c>
      <c r="D2">
        <v>325</v>
      </c>
      <c r="E2" s="3">
        <f>D2/C2</f>
        <v>0.7142857142857143</v>
      </c>
      <c r="G2">
        <v>207</v>
      </c>
      <c r="H2">
        <v>118</v>
      </c>
    </row>
    <row r="3" spans="1:9" x14ac:dyDescent="0.25">
      <c r="A3">
        <v>2025</v>
      </c>
      <c r="B3" t="s">
        <v>48</v>
      </c>
      <c r="C3">
        <f>_xlfn.XLOOKUP(B3,[1]Total_matricula2025!$A:$A,[1]Total_matricula2025!$B:$B,"No encontrado")</f>
        <v>354</v>
      </c>
      <c r="D3">
        <v>303</v>
      </c>
      <c r="E3" s="3">
        <f t="shared" ref="E3:E66" si="0">D3/C3</f>
        <v>0.85593220338983056</v>
      </c>
      <c r="F3">
        <v>303</v>
      </c>
    </row>
    <row r="4" spans="1:9" x14ac:dyDescent="0.25">
      <c r="A4">
        <v>2025</v>
      </c>
      <c r="B4" t="s">
        <v>41</v>
      </c>
      <c r="C4">
        <f>_xlfn.XLOOKUP(B4,[1]Total_matricula2025!$A:$A,[1]Total_matricula2025!$B:$B,"No encontrado")</f>
        <v>137</v>
      </c>
      <c r="D4">
        <v>131</v>
      </c>
      <c r="E4" s="3">
        <f t="shared" si="0"/>
        <v>0.95620437956204385</v>
      </c>
      <c r="F4">
        <v>131</v>
      </c>
    </row>
    <row r="5" spans="1:9" x14ac:dyDescent="0.25">
      <c r="A5">
        <v>2025</v>
      </c>
      <c r="B5" t="s">
        <v>49</v>
      </c>
      <c r="C5">
        <f>_xlfn.XLOOKUP(B5,[1]Total_matricula2025!$A:$A,[1]Total_matricula2025!$B:$B,"No encontrado")</f>
        <v>175</v>
      </c>
      <c r="D5">
        <v>44</v>
      </c>
      <c r="E5" s="3">
        <f t="shared" si="0"/>
        <v>0.25142857142857145</v>
      </c>
      <c r="F5">
        <v>44</v>
      </c>
    </row>
    <row r="6" spans="1:9" x14ac:dyDescent="0.25">
      <c r="A6">
        <v>2025</v>
      </c>
      <c r="B6" t="s">
        <v>19</v>
      </c>
      <c r="D6">
        <v>1280</v>
      </c>
      <c r="F6">
        <v>816</v>
      </c>
      <c r="H6">
        <v>464</v>
      </c>
    </row>
    <row r="7" spans="1:9" x14ac:dyDescent="0.25">
      <c r="A7">
        <v>2025</v>
      </c>
      <c r="B7" t="s">
        <v>38</v>
      </c>
      <c r="C7">
        <f>_xlfn.XLOOKUP(B7,[1]Total_matricula2025!$A:$A,[1]Total_matricula2025!$B:$B,"No encontrado")</f>
        <v>391</v>
      </c>
      <c r="D7">
        <v>258</v>
      </c>
      <c r="E7" s="3">
        <f t="shared" si="0"/>
        <v>0.65984654731457804</v>
      </c>
      <c r="F7">
        <v>76</v>
      </c>
      <c r="G7">
        <v>182</v>
      </c>
    </row>
    <row r="8" spans="1:9" x14ac:dyDescent="0.25">
      <c r="A8">
        <v>2025</v>
      </c>
      <c r="B8" t="s">
        <v>32</v>
      </c>
      <c r="C8">
        <f>_xlfn.XLOOKUP(B8,[1]Total_matricula2025!$A:$A,[1]Total_matricula2025!$B:$B,"No encontrado")</f>
        <v>610</v>
      </c>
      <c r="D8">
        <v>415</v>
      </c>
      <c r="E8" s="3">
        <f t="shared" si="0"/>
        <v>0.68032786885245899</v>
      </c>
      <c r="F8">
        <v>415</v>
      </c>
    </row>
    <row r="9" spans="1:9" x14ac:dyDescent="0.25">
      <c r="A9">
        <v>2025</v>
      </c>
      <c r="B9" t="s">
        <v>50</v>
      </c>
      <c r="C9">
        <f>_xlfn.XLOOKUP(B9,[1]Total_matricula2025!$A:$A,[1]Total_matricula2025!$B:$B,"No encontrado")</f>
        <v>1866</v>
      </c>
      <c r="D9">
        <v>1456</v>
      </c>
      <c r="E9" s="3">
        <f t="shared" si="0"/>
        <v>0.78027867095391212</v>
      </c>
      <c r="G9">
        <v>754</v>
      </c>
      <c r="H9">
        <v>702</v>
      </c>
    </row>
    <row r="10" spans="1:9" x14ac:dyDescent="0.25">
      <c r="A10">
        <v>2025</v>
      </c>
      <c r="B10" t="s">
        <v>15</v>
      </c>
      <c r="D10">
        <v>1036</v>
      </c>
      <c r="F10">
        <v>1036</v>
      </c>
    </row>
    <row r="11" spans="1:9" x14ac:dyDescent="0.25">
      <c r="A11">
        <v>2025</v>
      </c>
      <c r="B11" t="s">
        <v>51</v>
      </c>
      <c r="C11">
        <f>_xlfn.XLOOKUP(B11,[1]Total_matricula2025!$A:$A,[1]Total_matricula2025!$B:$B,"No encontrado")</f>
        <v>219</v>
      </c>
      <c r="D11">
        <v>199</v>
      </c>
      <c r="E11" s="3">
        <f t="shared" si="0"/>
        <v>0.908675799086758</v>
      </c>
      <c r="F11">
        <v>38</v>
      </c>
      <c r="G11">
        <v>84</v>
      </c>
      <c r="H11">
        <v>77</v>
      </c>
    </row>
    <row r="12" spans="1:9" x14ac:dyDescent="0.25">
      <c r="A12">
        <v>2025</v>
      </c>
      <c r="B12" t="s">
        <v>39</v>
      </c>
      <c r="C12">
        <f>_xlfn.XLOOKUP(B12,[1]Total_matricula2025!$A:$A,[1]Total_matricula2025!$B:$B,"No encontrado")</f>
        <v>460</v>
      </c>
      <c r="D12">
        <v>301</v>
      </c>
      <c r="E12" s="3">
        <f t="shared" si="0"/>
        <v>0.65434782608695652</v>
      </c>
      <c r="F12">
        <v>65</v>
      </c>
      <c r="G12">
        <v>236</v>
      </c>
    </row>
    <row r="13" spans="1:9" x14ac:dyDescent="0.25">
      <c r="A13">
        <v>2025</v>
      </c>
      <c r="B13" t="s">
        <v>23</v>
      </c>
      <c r="C13">
        <f>_xlfn.XLOOKUP(B13,[1]Total_matricula2025!$A:$A,[1]Total_matricula2025!$B:$B,"No encontrado")</f>
        <v>1372</v>
      </c>
      <c r="D13">
        <v>1173</v>
      </c>
      <c r="E13" s="3">
        <f t="shared" si="0"/>
        <v>0.85495626822157433</v>
      </c>
      <c r="F13">
        <v>55</v>
      </c>
      <c r="G13">
        <v>570</v>
      </c>
      <c r="H13">
        <v>548</v>
      </c>
    </row>
    <row r="14" spans="1:9" x14ac:dyDescent="0.25">
      <c r="A14">
        <v>2025</v>
      </c>
      <c r="B14" t="s">
        <v>34</v>
      </c>
      <c r="C14">
        <f>_xlfn.XLOOKUP(B14,[1]Total_matricula2025!$A:$A,[1]Total_matricula2025!$B:$B,"No encontrado")</f>
        <v>697</v>
      </c>
      <c r="D14">
        <v>565</v>
      </c>
      <c r="E14" s="3">
        <f t="shared" si="0"/>
        <v>0.8106169296987088</v>
      </c>
      <c r="G14">
        <v>290</v>
      </c>
      <c r="H14">
        <v>275</v>
      </c>
    </row>
    <row r="15" spans="1:9" x14ac:dyDescent="0.25">
      <c r="A15">
        <v>2025</v>
      </c>
      <c r="B15" t="s">
        <v>40</v>
      </c>
      <c r="C15">
        <f>_xlfn.XLOOKUP(B15,[1]Total_matricula2025!$A:$A,[1]Total_matricula2025!$B:$B,"No encontrado")</f>
        <v>290</v>
      </c>
      <c r="D15">
        <v>225</v>
      </c>
      <c r="E15" s="3">
        <f t="shared" si="0"/>
        <v>0.77586206896551724</v>
      </c>
      <c r="F15">
        <v>121</v>
      </c>
      <c r="G15">
        <v>104</v>
      </c>
    </row>
    <row r="16" spans="1:9" x14ac:dyDescent="0.25">
      <c r="A16">
        <v>2025</v>
      </c>
      <c r="B16" t="s">
        <v>20</v>
      </c>
      <c r="C16">
        <f>_xlfn.XLOOKUP(B16,[1]Total_matricula2025!$A:$A,[1]Total_matricula2025!$B:$B,"No encontrado")</f>
        <v>1609</v>
      </c>
      <c r="D16">
        <v>953</v>
      </c>
      <c r="E16" s="3">
        <f t="shared" si="0"/>
        <v>0.5922933499067744</v>
      </c>
      <c r="G16">
        <v>525</v>
      </c>
      <c r="H16">
        <v>428</v>
      </c>
    </row>
    <row r="17" spans="1:8" x14ac:dyDescent="0.25">
      <c r="A17">
        <v>2025</v>
      </c>
      <c r="B17" t="s">
        <v>16</v>
      </c>
      <c r="C17">
        <f>_xlfn.XLOOKUP(B17,[1]Total_matricula2025!$A:$A,[1]Total_matricula2025!$B:$B,"No encontrado")</f>
        <v>1431</v>
      </c>
      <c r="D17">
        <v>1105</v>
      </c>
      <c r="E17" s="3">
        <f t="shared" si="0"/>
        <v>0.77218728162124384</v>
      </c>
      <c r="G17">
        <v>688</v>
      </c>
      <c r="H17">
        <v>417</v>
      </c>
    </row>
    <row r="18" spans="1:8" x14ac:dyDescent="0.25">
      <c r="A18">
        <v>2025</v>
      </c>
      <c r="B18" t="s">
        <v>3</v>
      </c>
      <c r="C18">
        <f>_xlfn.XLOOKUP(B18,[1]Total_matricula2025!$A:$A,[1]Total_matricula2025!$B:$B,"No encontrado")</f>
        <v>2129</v>
      </c>
      <c r="D18">
        <v>1791</v>
      </c>
      <c r="E18" s="3">
        <f t="shared" si="0"/>
        <v>0.84124001878816346</v>
      </c>
      <c r="F18">
        <v>1115</v>
      </c>
      <c r="G18">
        <v>449</v>
      </c>
      <c r="H18">
        <v>227</v>
      </c>
    </row>
    <row r="19" spans="1:8" x14ac:dyDescent="0.25">
      <c r="A19">
        <v>2025</v>
      </c>
      <c r="B19" t="s">
        <v>17</v>
      </c>
      <c r="C19">
        <f>_xlfn.XLOOKUP(B19,[1]Total_matricula2025!$A:$A,[1]Total_matricula2025!$B:$B,"No encontrado")</f>
        <v>1314</v>
      </c>
      <c r="D19">
        <v>971</v>
      </c>
      <c r="E19" s="3">
        <f t="shared" si="0"/>
        <v>0.73896499238964997</v>
      </c>
      <c r="F19">
        <v>971</v>
      </c>
    </row>
    <row r="20" spans="1:8" x14ac:dyDescent="0.25">
      <c r="A20">
        <v>2025</v>
      </c>
      <c r="B20" t="s">
        <v>22</v>
      </c>
      <c r="C20">
        <f>_xlfn.XLOOKUP(B20,[1]Total_matricula2025!$A:$A,[1]Total_matricula2025!$B:$B,"No encontrado")</f>
        <v>1325</v>
      </c>
      <c r="D20">
        <v>659</v>
      </c>
      <c r="E20" s="3">
        <f t="shared" si="0"/>
        <v>0.49735849056603776</v>
      </c>
      <c r="G20">
        <v>484</v>
      </c>
      <c r="H20">
        <v>175</v>
      </c>
    </row>
    <row r="21" spans="1:8" x14ac:dyDescent="0.25">
      <c r="A21">
        <v>2025</v>
      </c>
      <c r="B21" t="s">
        <v>37</v>
      </c>
      <c r="C21">
        <f>_xlfn.XLOOKUP(B21,[1]Total_matricula2025!$A:$A,[1]Total_matricula2025!$B:$B,"No encontrado")</f>
        <v>643</v>
      </c>
      <c r="D21">
        <v>624</v>
      </c>
      <c r="E21" s="3">
        <f t="shared" si="0"/>
        <v>0.97045101088646968</v>
      </c>
      <c r="G21">
        <v>321</v>
      </c>
      <c r="H21">
        <v>303</v>
      </c>
    </row>
    <row r="22" spans="1:8" x14ac:dyDescent="0.25">
      <c r="A22">
        <v>2025</v>
      </c>
      <c r="B22" t="s">
        <v>14</v>
      </c>
      <c r="C22">
        <f>_xlfn.XLOOKUP(B22,[1]Total_matricula2025!$A:$A,[1]Total_matricula2025!$B:$B,"No encontrado")</f>
        <v>1773</v>
      </c>
      <c r="D22">
        <v>1319</v>
      </c>
      <c r="E22" s="3">
        <f t="shared" si="0"/>
        <v>0.74393683023124646</v>
      </c>
      <c r="G22">
        <v>629</v>
      </c>
      <c r="H22">
        <v>690</v>
      </c>
    </row>
    <row r="23" spans="1:8" x14ac:dyDescent="0.25">
      <c r="A23">
        <v>2025</v>
      </c>
      <c r="B23" t="s">
        <v>18</v>
      </c>
      <c r="C23">
        <f>_xlfn.XLOOKUP(B23,[1]Total_matricula2025!$A:$A,[1]Total_matricula2025!$B:$B,"No encontrado")</f>
        <v>1796</v>
      </c>
      <c r="D23">
        <v>696</v>
      </c>
      <c r="E23" s="3">
        <f t="shared" si="0"/>
        <v>0.38752783964365256</v>
      </c>
      <c r="F23">
        <v>696</v>
      </c>
    </row>
    <row r="24" spans="1:8" x14ac:dyDescent="0.25">
      <c r="A24">
        <v>2025</v>
      </c>
      <c r="B24" t="s">
        <v>52</v>
      </c>
      <c r="C24">
        <f>_xlfn.XLOOKUP(B24,[1]Total_matricula2025!$A:$A,[1]Total_matricula2025!$B:$B,"No encontrado")</f>
        <v>1621</v>
      </c>
      <c r="D24">
        <v>177</v>
      </c>
      <c r="E24" s="3">
        <f t="shared" si="0"/>
        <v>0.10919185687847008</v>
      </c>
      <c r="G24">
        <v>177</v>
      </c>
    </row>
    <row r="25" spans="1:8" x14ac:dyDescent="0.25">
      <c r="A25">
        <v>2025</v>
      </c>
      <c r="B25" t="s">
        <v>11</v>
      </c>
      <c r="C25">
        <f>_xlfn.XLOOKUP(B25,[1]Total_matricula2025!$A:$A,[1]Total_matricula2025!$B:$B,"No encontrado")</f>
        <v>1878</v>
      </c>
      <c r="D25">
        <v>560</v>
      </c>
      <c r="E25" s="3">
        <f t="shared" si="0"/>
        <v>0.29818956336528224</v>
      </c>
      <c r="F25">
        <v>324</v>
      </c>
      <c r="G25">
        <v>236</v>
      </c>
    </row>
    <row r="26" spans="1:8" x14ac:dyDescent="0.25">
      <c r="A26">
        <v>2025</v>
      </c>
      <c r="B26" t="s">
        <v>30</v>
      </c>
      <c r="C26">
        <f>_xlfn.XLOOKUP(B26,[1]Total_matricula2025!$A:$A,[1]Total_matricula2025!$B:$B,"No encontrado")</f>
        <v>743</v>
      </c>
      <c r="D26">
        <v>486</v>
      </c>
      <c r="E26" s="3">
        <f t="shared" si="0"/>
        <v>0.65410497981157467</v>
      </c>
      <c r="F26">
        <v>291</v>
      </c>
      <c r="G26">
        <v>195</v>
      </c>
    </row>
    <row r="27" spans="1:8" x14ac:dyDescent="0.25">
      <c r="A27">
        <v>2025</v>
      </c>
      <c r="B27" t="s">
        <v>26</v>
      </c>
      <c r="C27">
        <f>_xlfn.XLOOKUP(B27,[1]Total_matricula2025!$A:$A,[1]Total_matricula2025!$B:$B,"No encontrado")</f>
        <v>1178</v>
      </c>
      <c r="D27">
        <v>775</v>
      </c>
      <c r="E27" s="3">
        <f t="shared" si="0"/>
        <v>0.65789473684210531</v>
      </c>
      <c r="F27">
        <v>183</v>
      </c>
      <c r="G27">
        <v>482</v>
      </c>
      <c r="H27">
        <v>110</v>
      </c>
    </row>
    <row r="28" spans="1:8" x14ac:dyDescent="0.25">
      <c r="A28">
        <v>2025</v>
      </c>
      <c r="B28" t="s">
        <v>2</v>
      </c>
      <c r="C28">
        <f>_xlfn.XLOOKUP(B28,[1]Total_matricula2025!$A:$A,[1]Total_matricula2025!$B:$B,"No encontrado")</f>
        <v>2546</v>
      </c>
      <c r="D28">
        <v>2042</v>
      </c>
      <c r="E28" s="3">
        <f t="shared" si="0"/>
        <v>0.80204241948153965</v>
      </c>
      <c r="G28">
        <v>1383</v>
      </c>
      <c r="H28">
        <v>659</v>
      </c>
    </row>
    <row r="29" spans="1:8" x14ac:dyDescent="0.25">
      <c r="A29">
        <v>2025</v>
      </c>
      <c r="B29" t="s">
        <v>29</v>
      </c>
      <c r="C29">
        <f>_xlfn.XLOOKUP(B29,[1]Total_matricula2025!$A:$A,[1]Total_matricula2025!$B:$B,"No encontrado")</f>
        <v>1025</v>
      </c>
      <c r="D29">
        <v>551</v>
      </c>
      <c r="E29" s="3">
        <f t="shared" si="0"/>
        <v>0.53756097560975613</v>
      </c>
      <c r="G29">
        <v>356</v>
      </c>
      <c r="H29">
        <v>195</v>
      </c>
    </row>
    <row r="30" spans="1:8" x14ac:dyDescent="0.25">
      <c r="A30">
        <v>2025</v>
      </c>
      <c r="B30" t="s">
        <v>24</v>
      </c>
      <c r="C30">
        <f>_xlfn.XLOOKUP(B30,[1]Total_matricula2025!$A:$A,[1]Total_matricula2025!$B:$B,"No encontrado")</f>
        <v>1259</v>
      </c>
      <c r="D30">
        <v>909</v>
      </c>
      <c r="E30" s="3">
        <f t="shared" si="0"/>
        <v>0.72200158856235108</v>
      </c>
      <c r="G30">
        <v>397</v>
      </c>
      <c r="H30">
        <v>512</v>
      </c>
    </row>
    <row r="31" spans="1:8" x14ac:dyDescent="0.25">
      <c r="A31">
        <v>2025</v>
      </c>
      <c r="B31" t="s">
        <v>27</v>
      </c>
      <c r="C31">
        <f>_xlfn.XLOOKUP(B31,[1]Total_matricula2025!$A:$A,[1]Total_matricula2025!$B:$B,"No encontrado")</f>
        <v>793</v>
      </c>
      <c r="D31">
        <v>746</v>
      </c>
      <c r="E31" s="3">
        <f t="shared" si="0"/>
        <v>0.94073139974779318</v>
      </c>
      <c r="F31">
        <v>746</v>
      </c>
    </row>
    <row r="32" spans="1:8" x14ac:dyDescent="0.25">
      <c r="A32">
        <v>2025</v>
      </c>
      <c r="B32" t="s">
        <v>7</v>
      </c>
      <c r="C32">
        <f>_xlfn.XLOOKUP(B32,[1]Total_matricula2025!$A:$A,[1]Total_matricula2025!$B:$B,"No encontrado")</f>
        <v>1998</v>
      </c>
      <c r="D32">
        <v>1067</v>
      </c>
      <c r="E32" s="3">
        <f t="shared" si="0"/>
        <v>0.53403403403403404</v>
      </c>
      <c r="G32">
        <v>630</v>
      </c>
      <c r="H32">
        <v>437</v>
      </c>
    </row>
    <row r="33" spans="1:8" x14ac:dyDescent="0.25">
      <c r="A33">
        <v>2025</v>
      </c>
      <c r="B33" t="s">
        <v>12</v>
      </c>
      <c r="C33">
        <f>_xlfn.XLOOKUP(B33,[1]Total_matricula2025!$A:$A,[1]Total_matricula2025!$B:$B,"No encontrado")</f>
        <v>2067</v>
      </c>
      <c r="D33">
        <v>727</v>
      </c>
      <c r="E33" s="3">
        <f t="shared" si="0"/>
        <v>0.3517174649250121</v>
      </c>
      <c r="G33">
        <v>427</v>
      </c>
      <c r="H33">
        <v>300</v>
      </c>
    </row>
    <row r="34" spans="1:8" x14ac:dyDescent="0.25">
      <c r="A34">
        <v>2025</v>
      </c>
      <c r="B34" t="s">
        <v>21</v>
      </c>
      <c r="C34">
        <f>_xlfn.XLOOKUP(B34,[1]Total_matricula2025!$A:$A,[1]Total_matricula2025!$B:$B,"No encontrado")</f>
        <v>1523</v>
      </c>
      <c r="D34">
        <v>817</v>
      </c>
      <c r="E34" s="3">
        <f t="shared" si="0"/>
        <v>0.53644123440577807</v>
      </c>
      <c r="F34">
        <v>476</v>
      </c>
      <c r="G34">
        <v>341</v>
      </c>
    </row>
    <row r="35" spans="1:8" x14ac:dyDescent="0.25">
      <c r="A35">
        <v>2025</v>
      </c>
      <c r="B35" t="s">
        <v>28</v>
      </c>
      <c r="C35">
        <f>_xlfn.XLOOKUP(B35,[1]Total_matricula2025!$A:$A,[1]Total_matricula2025!$B:$B,"No encontrado")</f>
        <v>1025</v>
      </c>
      <c r="D35">
        <v>673</v>
      </c>
      <c r="E35" s="3">
        <f t="shared" si="0"/>
        <v>0.65658536585365856</v>
      </c>
      <c r="G35">
        <v>602</v>
      </c>
      <c r="H35">
        <v>71</v>
      </c>
    </row>
    <row r="36" spans="1:8" x14ac:dyDescent="0.25">
      <c r="A36">
        <v>2025</v>
      </c>
      <c r="B36" t="s">
        <v>35</v>
      </c>
      <c r="C36">
        <f>_xlfn.XLOOKUP(B36,[1]Total_matricula2025!$A:$A,[1]Total_matricula2025!$B:$B,"No encontrado")</f>
        <v>559</v>
      </c>
      <c r="D36">
        <v>385</v>
      </c>
      <c r="E36" s="3">
        <f t="shared" si="0"/>
        <v>0.68872987477638636</v>
      </c>
      <c r="F36">
        <v>385</v>
      </c>
    </row>
    <row r="37" spans="1:8" x14ac:dyDescent="0.25">
      <c r="A37">
        <v>2025</v>
      </c>
      <c r="B37" t="s">
        <v>8</v>
      </c>
      <c r="C37">
        <f>_xlfn.XLOOKUP(B37,[1]Total_matricula2025!$A:$A,[1]Total_matricula2025!$B:$B,"No encontrado")</f>
        <v>1966</v>
      </c>
      <c r="D37">
        <v>578</v>
      </c>
      <c r="E37" s="3">
        <f t="shared" si="0"/>
        <v>0.29399796541200407</v>
      </c>
      <c r="G37">
        <v>109</v>
      </c>
      <c r="H37">
        <v>469</v>
      </c>
    </row>
    <row r="38" spans="1:8" x14ac:dyDescent="0.25">
      <c r="A38">
        <v>2025</v>
      </c>
      <c r="B38" t="s">
        <v>25</v>
      </c>
      <c r="C38">
        <f>_xlfn.XLOOKUP(B38,[1]Total_matricula2025!$A:$A,[1]Total_matricula2025!$B:$B,"No encontrado")</f>
        <v>1218</v>
      </c>
      <c r="D38">
        <v>378</v>
      </c>
      <c r="E38" s="3">
        <f t="shared" si="0"/>
        <v>0.31034482758620691</v>
      </c>
      <c r="H38">
        <v>378</v>
      </c>
    </row>
    <row r="39" spans="1:8" x14ac:dyDescent="0.25">
      <c r="A39">
        <v>2025</v>
      </c>
      <c r="B39" t="s">
        <v>4</v>
      </c>
      <c r="C39">
        <f>_xlfn.XLOOKUP(B39,[1]Total_matricula2025!$A:$A,[1]Total_matricula2025!$B:$B,"No encontrado")</f>
        <v>2332</v>
      </c>
      <c r="D39">
        <v>1222</v>
      </c>
      <c r="E39" s="3">
        <f t="shared" si="0"/>
        <v>0.52401372212692965</v>
      </c>
      <c r="G39">
        <v>626</v>
      </c>
      <c r="H39">
        <v>596</v>
      </c>
    </row>
    <row r="40" spans="1:8" x14ac:dyDescent="0.25">
      <c r="A40">
        <v>2025</v>
      </c>
      <c r="B40" t="s">
        <v>9</v>
      </c>
      <c r="C40">
        <f>_xlfn.XLOOKUP(B40,[1]Total_matricula2025!$A:$A,[1]Total_matricula2025!$B:$B,"No encontrado")</f>
        <v>1925</v>
      </c>
      <c r="D40">
        <v>948</v>
      </c>
      <c r="E40" s="3">
        <f t="shared" si="0"/>
        <v>0.49246753246753244</v>
      </c>
      <c r="F40">
        <v>948</v>
      </c>
    </row>
    <row r="41" spans="1:8" x14ac:dyDescent="0.25">
      <c r="A41">
        <v>2025</v>
      </c>
      <c r="B41" t="s">
        <v>31</v>
      </c>
      <c r="C41">
        <f>_xlfn.XLOOKUP(B41,[1]Total_matricula2025!$A:$A,[1]Total_matricula2025!$B:$B,"No encontrado")</f>
        <v>1012</v>
      </c>
      <c r="D41">
        <v>696</v>
      </c>
      <c r="E41" s="3">
        <f t="shared" si="0"/>
        <v>0.68774703557312256</v>
      </c>
      <c r="F41">
        <v>546</v>
      </c>
      <c r="G41">
        <v>150</v>
      </c>
    </row>
    <row r="42" spans="1:8" x14ac:dyDescent="0.25">
      <c r="A42">
        <v>2025</v>
      </c>
      <c r="B42" t="s">
        <v>1</v>
      </c>
      <c r="C42">
        <f>_xlfn.XLOOKUP(B42,[1]Total_matricula2025!$A:$A,[1]Total_matricula2025!$B:$B,"No encontrado")</f>
        <v>3211</v>
      </c>
      <c r="D42">
        <v>1789</v>
      </c>
      <c r="E42" s="3">
        <f t="shared" si="0"/>
        <v>0.55714730613516039</v>
      </c>
      <c r="F42">
        <v>694</v>
      </c>
      <c r="G42">
        <v>1095</v>
      </c>
    </row>
    <row r="43" spans="1:8" x14ac:dyDescent="0.25">
      <c r="A43">
        <v>2025</v>
      </c>
      <c r="B43" t="s">
        <v>10</v>
      </c>
      <c r="C43">
        <f>_xlfn.XLOOKUP(B43,[1]Total_matricula2025!$A:$A,[1]Total_matricula2025!$B:$B,"No encontrado")</f>
        <v>1797</v>
      </c>
      <c r="D43">
        <v>1261</v>
      </c>
      <c r="E43" s="3">
        <f t="shared" si="0"/>
        <v>0.70172509738452982</v>
      </c>
      <c r="F43">
        <v>1103</v>
      </c>
      <c r="H43">
        <v>158</v>
      </c>
    </row>
    <row r="44" spans="1:8" x14ac:dyDescent="0.25">
      <c r="A44">
        <v>2025</v>
      </c>
      <c r="B44" t="s">
        <v>13</v>
      </c>
      <c r="C44">
        <f>_xlfn.XLOOKUP(B44,[1]Total_matricula2025!$A:$A,[1]Total_matricula2025!$B:$B,"No encontrado")</f>
        <v>1921</v>
      </c>
      <c r="D44">
        <v>985</v>
      </c>
      <c r="E44" s="3">
        <f t="shared" si="0"/>
        <v>0.51275377407600209</v>
      </c>
      <c r="F44">
        <v>614</v>
      </c>
      <c r="G44">
        <v>371</v>
      </c>
    </row>
    <row r="45" spans="1:8" x14ac:dyDescent="0.25">
      <c r="A45">
        <v>2025</v>
      </c>
      <c r="B45" t="s">
        <v>5</v>
      </c>
      <c r="D45">
        <v>962</v>
      </c>
      <c r="G45">
        <v>962</v>
      </c>
    </row>
    <row r="46" spans="1:8" x14ac:dyDescent="0.25">
      <c r="A46">
        <v>2025</v>
      </c>
      <c r="B46" t="s">
        <v>33</v>
      </c>
      <c r="C46">
        <f>_xlfn.XLOOKUP(B46,[1]Total_matricula2025!$A:$A,[1]Total_matricula2025!$B:$B,"No encontrado")</f>
        <v>739</v>
      </c>
      <c r="D46">
        <v>429</v>
      </c>
      <c r="E46" s="3">
        <f t="shared" si="0"/>
        <v>0.58051420838971579</v>
      </c>
      <c r="F46">
        <v>191</v>
      </c>
      <c r="G46">
        <v>238</v>
      </c>
    </row>
    <row r="47" spans="1:8" x14ac:dyDescent="0.25">
      <c r="A47">
        <v>2025</v>
      </c>
      <c r="B47" t="s">
        <v>53</v>
      </c>
      <c r="C47">
        <f>_xlfn.XLOOKUP(B47,[1]Total_matricula2025!$A:$A,[1]Total_matricula2025!$B:$B,"No encontrado")</f>
        <v>2546</v>
      </c>
      <c r="D47">
        <v>1703</v>
      </c>
      <c r="E47" s="3">
        <f t="shared" si="0"/>
        <v>0.66889238020424191</v>
      </c>
      <c r="F47">
        <v>1364</v>
      </c>
      <c r="G47">
        <v>339</v>
      </c>
    </row>
    <row r="48" spans="1:8" x14ac:dyDescent="0.25">
      <c r="A48">
        <v>2025</v>
      </c>
      <c r="B48" t="s">
        <v>6</v>
      </c>
      <c r="C48">
        <f>_xlfn.XLOOKUP(B48,[1]Total_matricula2025!$A:$A,[1]Total_matricula2025!$B:$B,"No encontrado")</f>
        <v>1727</v>
      </c>
      <c r="D48">
        <v>1120</v>
      </c>
      <c r="E48" s="3">
        <f t="shared" si="0"/>
        <v>0.64852345107122178</v>
      </c>
      <c r="F48">
        <v>1120</v>
      </c>
    </row>
    <row r="49" spans="1:8" x14ac:dyDescent="0.25">
      <c r="A49">
        <v>2025</v>
      </c>
      <c r="B49" t="s">
        <v>82</v>
      </c>
      <c r="C49">
        <f>_xlfn.XLOOKUP(B49,[1]Total_matricula2025!$A:$A,[1]Total_matricula2025!$B:$B,"No encontrado")</f>
        <v>351</v>
      </c>
      <c r="D49">
        <v>287</v>
      </c>
      <c r="E49" s="3">
        <f t="shared" si="0"/>
        <v>0.81766381766381768</v>
      </c>
      <c r="F49">
        <v>287</v>
      </c>
    </row>
    <row r="50" spans="1:8" x14ac:dyDescent="0.25">
      <c r="A50">
        <v>2025</v>
      </c>
      <c r="B50" t="s">
        <v>55</v>
      </c>
      <c r="C50">
        <f>_xlfn.XLOOKUP(B50,[1]Total_matricula2025!$A:$A,[1]Total_matricula2025!$B:$B,"No encontrado")</f>
        <v>688</v>
      </c>
      <c r="D50">
        <v>463</v>
      </c>
      <c r="E50" s="3">
        <f t="shared" si="0"/>
        <v>0.67296511627906974</v>
      </c>
      <c r="F50">
        <v>139</v>
      </c>
      <c r="G50">
        <v>324</v>
      </c>
    </row>
    <row r="51" spans="1:8" x14ac:dyDescent="0.25">
      <c r="A51">
        <v>2025</v>
      </c>
      <c r="B51" t="s">
        <v>56</v>
      </c>
      <c r="C51">
        <f>_xlfn.XLOOKUP(B51,[1]Total_matricula2025!$A:$A,[1]Total_matricula2025!$B:$B,"No encontrado")</f>
        <v>458</v>
      </c>
      <c r="D51">
        <v>409</v>
      </c>
      <c r="E51" s="3">
        <f t="shared" si="0"/>
        <v>0.89301310043668125</v>
      </c>
      <c r="F51">
        <v>409</v>
      </c>
    </row>
    <row r="52" spans="1:8" x14ac:dyDescent="0.25">
      <c r="A52">
        <v>2025</v>
      </c>
      <c r="B52" t="s">
        <v>57</v>
      </c>
      <c r="C52">
        <f>_xlfn.XLOOKUP(B52,[1]Total_matricula2025!$A:$A,[1]Total_matricula2025!$B:$B,"No encontrado")</f>
        <v>603</v>
      </c>
      <c r="D52">
        <v>526</v>
      </c>
      <c r="E52" s="3">
        <f t="shared" si="0"/>
        <v>0.87230514096185741</v>
      </c>
      <c r="G52">
        <v>338</v>
      </c>
      <c r="H52">
        <v>188</v>
      </c>
    </row>
    <row r="53" spans="1:8" x14ac:dyDescent="0.25">
      <c r="A53">
        <v>2025</v>
      </c>
      <c r="B53" t="s">
        <v>58</v>
      </c>
      <c r="C53">
        <f>_xlfn.XLOOKUP(B53,[1]Total_matricula2025!$A:$A,[1]Total_matricula2025!$B:$B,"No encontrado")</f>
        <v>837</v>
      </c>
      <c r="D53">
        <v>777</v>
      </c>
      <c r="E53" s="3">
        <f t="shared" si="0"/>
        <v>0.92831541218637992</v>
      </c>
      <c r="F53">
        <v>777</v>
      </c>
    </row>
    <row r="54" spans="1:8" x14ac:dyDescent="0.25">
      <c r="A54">
        <v>2025</v>
      </c>
      <c r="B54" t="s">
        <v>59</v>
      </c>
      <c r="C54">
        <f>_xlfn.XLOOKUP(B54,[1]Total_matricula2025!$A:$A,[1]Total_matricula2025!$B:$B,"No encontrado")</f>
        <v>529</v>
      </c>
      <c r="D54">
        <v>442</v>
      </c>
      <c r="E54" s="3">
        <f t="shared" si="0"/>
        <v>0.83553875236294894</v>
      </c>
      <c r="F54">
        <v>228</v>
      </c>
      <c r="H54">
        <v>214</v>
      </c>
    </row>
    <row r="55" spans="1:8" x14ac:dyDescent="0.25">
      <c r="A55">
        <v>2025</v>
      </c>
      <c r="B55" t="s">
        <v>60</v>
      </c>
      <c r="C55">
        <f>_xlfn.XLOOKUP(B55,[1]Total_matricula2025!$A:$A,[1]Total_matricula2025!$B:$B,"No encontrado")</f>
        <v>572</v>
      </c>
      <c r="D55">
        <v>493</v>
      </c>
      <c r="E55" s="3">
        <f t="shared" si="0"/>
        <v>0.86188811188811187</v>
      </c>
      <c r="F55">
        <v>493</v>
      </c>
    </row>
    <row r="56" spans="1:8" x14ac:dyDescent="0.25">
      <c r="A56">
        <v>2025</v>
      </c>
      <c r="B56" t="s">
        <v>61</v>
      </c>
      <c r="C56">
        <f>_xlfn.XLOOKUP(B56,[1]Total_matricula2025!$A:$A,[1]Total_matricula2025!$B:$B,"No encontrado")</f>
        <v>1629</v>
      </c>
      <c r="D56">
        <v>702</v>
      </c>
      <c r="E56" s="3">
        <f t="shared" si="0"/>
        <v>0.43093922651933703</v>
      </c>
      <c r="F56">
        <v>235</v>
      </c>
      <c r="G56">
        <v>312</v>
      </c>
      <c r="H56">
        <v>155</v>
      </c>
    </row>
    <row r="57" spans="1:8" x14ac:dyDescent="0.25">
      <c r="A57">
        <v>2025</v>
      </c>
      <c r="B57" t="s">
        <v>62</v>
      </c>
      <c r="C57">
        <f>_xlfn.XLOOKUP(B57,[1]Total_matricula2025!$A:$A,[1]Total_matricula2025!$B:$B,"No encontrado")</f>
        <v>100</v>
      </c>
      <c r="D57">
        <v>21</v>
      </c>
      <c r="E57" s="3">
        <f t="shared" si="0"/>
        <v>0.21</v>
      </c>
      <c r="F57">
        <v>21</v>
      </c>
    </row>
    <row r="58" spans="1:8" x14ac:dyDescent="0.25">
      <c r="A58">
        <v>2025</v>
      </c>
      <c r="B58" t="s">
        <v>63</v>
      </c>
      <c r="C58">
        <f>_xlfn.XLOOKUP(B58,[1]Total_matricula2025!$A:$A,[1]Total_matricula2025!$B:$B,"No encontrado")</f>
        <v>522</v>
      </c>
      <c r="D58">
        <v>422</v>
      </c>
      <c r="E58" s="3">
        <f t="shared" si="0"/>
        <v>0.80842911877394641</v>
      </c>
      <c r="F58">
        <v>422</v>
      </c>
    </row>
    <row r="59" spans="1:8" x14ac:dyDescent="0.25">
      <c r="A59">
        <v>2025</v>
      </c>
      <c r="B59" t="s">
        <v>64</v>
      </c>
      <c r="C59">
        <f>_xlfn.XLOOKUP(B59,[1]Total_matricula2025!$A:$A,[1]Total_matricula2025!$B:$B,"No encontrado")</f>
        <v>2130</v>
      </c>
      <c r="D59">
        <v>1281</v>
      </c>
      <c r="E59" s="3">
        <f t="shared" si="0"/>
        <v>0.60140845070422533</v>
      </c>
      <c r="F59">
        <v>564</v>
      </c>
      <c r="G59">
        <v>717</v>
      </c>
    </row>
    <row r="60" spans="1:8" x14ac:dyDescent="0.25">
      <c r="A60">
        <v>2025</v>
      </c>
      <c r="B60" t="s">
        <v>65</v>
      </c>
      <c r="C60">
        <f>_xlfn.XLOOKUP(B60,[1]Total_matricula2025!$A:$A,[1]Total_matricula2025!$B:$B,"No encontrado")</f>
        <v>1532</v>
      </c>
      <c r="D60">
        <v>1228</v>
      </c>
      <c r="E60" s="3">
        <f t="shared" si="0"/>
        <v>0.80156657963446476</v>
      </c>
      <c r="F60">
        <v>147</v>
      </c>
      <c r="G60">
        <v>563</v>
      </c>
      <c r="H60">
        <v>518</v>
      </c>
    </row>
    <row r="61" spans="1:8" x14ac:dyDescent="0.25">
      <c r="A61">
        <v>2025</v>
      </c>
      <c r="B61" t="s">
        <v>66</v>
      </c>
      <c r="C61">
        <f>_xlfn.XLOOKUP(B61,[1]Total_matricula2025!$A:$A,[1]Total_matricula2025!$B:$B,"No encontrado")</f>
        <v>677</v>
      </c>
      <c r="D61">
        <v>586</v>
      </c>
      <c r="E61" s="3">
        <f t="shared" si="0"/>
        <v>0.86558345642540624</v>
      </c>
      <c r="F61">
        <v>586</v>
      </c>
    </row>
    <row r="62" spans="1:8" x14ac:dyDescent="0.25">
      <c r="A62">
        <v>2025</v>
      </c>
      <c r="B62" t="s">
        <v>67</v>
      </c>
      <c r="C62">
        <f>_xlfn.XLOOKUP(B62,[1]Total_matricula2025!$A:$A,[1]Total_matricula2025!$B:$B,"No encontrado")</f>
        <v>2616</v>
      </c>
      <c r="D62">
        <v>1604</v>
      </c>
      <c r="E62" s="3">
        <f t="shared" si="0"/>
        <v>0.61314984709480125</v>
      </c>
      <c r="G62">
        <v>826</v>
      </c>
      <c r="H62">
        <v>778</v>
      </c>
    </row>
    <row r="63" spans="1:8" x14ac:dyDescent="0.25">
      <c r="A63">
        <v>2025</v>
      </c>
      <c r="B63" t="s">
        <v>68</v>
      </c>
      <c r="C63">
        <f>_xlfn.XLOOKUP(B63,[1]Total_matricula2025!$A:$A,[1]Total_matricula2025!$B:$B,"No encontrado")</f>
        <v>922</v>
      </c>
      <c r="D63">
        <v>763</v>
      </c>
      <c r="E63" s="3">
        <f t="shared" si="0"/>
        <v>0.82754880694143163</v>
      </c>
      <c r="G63">
        <v>473</v>
      </c>
      <c r="H63">
        <v>290</v>
      </c>
    </row>
    <row r="64" spans="1:8" x14ac:dyDescent="0.25">
      <c r="A64">
        <v>2025</v>
      </c>
      <c r="B64" t="s">
        <v>69</v>
      </c>
      <c r="C64">
        <f>_xlfn.XLOOKUP(B64,[1]Total_matricula2025!$A:$A,[1]Total_matricula2025!$B:$B,"No encontrado")</f>
        <v>1035</v>
      </c>
      <c r="D64">
        <v>515</v>
      </c>
      <c r="E64" s="3">
        <f t="shared" si="0"/>
        <v>0.49758454106280192</v>
      </c>
      <c r="G64">
        <v>391</v>
      </c>
      <c r="H64">
        <v>124</v>
      </c>
    </row>
    <row r="65" spans="1:8" x14ac:dyDescent="0.25">
      <c r="A65">
        <v>2025</v>
      </c>
      <c r="B65" t="s">
        <v>70</v>
      </c>
      <c r="C65">
        <f>_xlfn.XLOOKUP(B65,[1]Total_matricula2025!$A:$A,[1]Total_matricula2025!$B:$B,"No encontrado")</f>
        <v>977</v>
      </c>
      <c r="D65">
        <v>723</v>
      </c>
      <c r="E65" s="3">
        <f t="shared" si="0"/>
        <v>0.74002047082906852</v>
      </c>
      <c r="F65">
        <v>154</v>
      </c>
      <c r="G65">
        <v>530</v>
      </c>
      <c r="H65">
        <v>39</v>
      </c>
    </row>
    <row r="66" spans="1:8" x14ac:dyDescent="0.25">
      <c r="A66">
        <v>2025</v>
      </c>
      <c r="B66" t="s">
        <v>71</v>
      </c>
      <c r="C66">
        <f>_xlfn.XLOOKUP(B66,[1]Total_matricula2025!$A:$A,[1]Total_matricula2025!$B:$B,"No encontrado")</f>
        <v>515</v>
      </c>
      <c r="D66">
        <v>306</v>
      </c>
      <c r="E66" s="3">
        <f t="shared" si="0"/>
        <v>0.59417475728155345</v>
      </c>
      <c r="F66">
        <v>306</v>
      </c>
    </row>
    <row r="67" spans="1:8" x14ac:dyDescent="0.25">
      <c r="A67">
        <v>2025</v>
      </c>
      <c r="B67" t="s">
        <v>72</v>
      </c>
      <c r="C67">
        <f>_xlfn.XLOOKUP(B67,[1]Total_matricula2025!$A:$A,[1]Total_matricula2025!$B:$B,"No encontrado")</f>
        <v>496</v>
      </c>
      <c r="D67">
        <v>449</v>
      </c>
      <c r="E67" s="3">
        <f t="shared" ref="E67:E69" si="1">D67/C67</f>
        <v>0.905241935483871</v>
      </c>
      <c r="F67">
        <v>449</v>
      </c>
    </row>
    <row r="68" spans="1:8" x14ac:dyDescent="0.25">
      <c r="A68">
        <v>2025</v>
      </c>
      <c r="B68" t="s">
        <v>73</v>
      </c>
      <c r="C68">
        <f>_xlfn.XLOOKUP(B68,[1]Total_matricula2025!$A:$A,[1]Total_matricula2025!$B:$B,"No encontrado")</f>
        <v>823</v>
      </c>
      <c r="D68">
        <v>650</v>
      </c>
      <c r="E68" s="3">
        <f t="shared" si="1"/>
        <v>0.7897934386391251</v>
      </c>
      <c r="F68">
        <v>650</v>
      </c>
    </row>
    <row r="69" spans="1:8" x14ac:dyDescent="0.25">
      <c r="A69">
        <v>2025</v>
      </c>
      <c r="B69" t="s">
        <v>44</v>
      </c>
      <c r="C69">
        <f>SUM(C2:C68)</f>
        <v>75667</v>
      </c>
      <c r="D69">
        <v>50462</v>
      </c>
      <c r="E69" s="3">
        <f t="shared" si="1"/>
        <v>0.66689574054739842</v>
      </c>
      <c r="F69">
        <v>20734</v>
      </c>
      <c r="G69">
        <v>19113</v>
      </c>
      <c r="H69">
        <v>10615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8539-5852-438E-8D7B-137FB5049AD8}">
  <dimension ref="A1:H69"/>
  <sheetViews>
    <sheetView workbookViewId="0">
      <selection activeCell="B67" sqref="B67"/>
    </sheetView>
  </sheetViews>
  <sheetFormatPr baseColWidth="10" defaultRowHeight="15" x14ac:dyDescent="0.25"/>
  <cols>
    <col min="2" max="2" width="63.42578125" bestFit="1" customWidth="1"/>
    <col min="4" max="4" width="23.5703125" bestFit="1" customWidth="1"/>
    <col min="5" max="5" width="11.42578125" style="3"/>
  </cols>
  <sheetData>
    <row r="1" spans="1:8" x14ac:dyDescent="0.25">
      <c r="A1" t="s">
        <v>42</v>
      </c>
      <c r="B1" t="s">
        <v>74</v>
      </c>
      <c r="C1" t="s">
        <v>78</v>
      </c>
      <c r="D1" t="s">
        <v>80</v>
      </c>
      <c r="E1" s="3" t="s">
        <v>79</v>
      </c>
      <c r="F1" t="s">
        <v>45</v>
      </c>
      <c r="G1" t="s">
        <v>46</v>
      </c>
      <c r="H1" t="s">
        <v>47</v>
      </c>
    </row>
    <row r="2" spans="1:8" x14ac:dyDescent="0.25">
      <c r="A2">
        <v>2024</v>
      </c>
      <c r="B2" t="s">
        <v>36</v>
      </c>
      <c r="C2">
        <v>529</v>
      </c>
      <c r="D2">
        <v>375</v>
      </c>
      <c r="E2" s="3">
        <f t="shared" ref="E2:E65" si="0">D2/C2</f>
        <v>0.70888468809073724</v>
      </c>
      <c r="G2">
        <v>271</v>
      </c>
      <c r="H2">
        <v>104</v>
      </c>
    </row>
    <row r="3" spans="1:8" x14ac:dyDescent="0.25">
      <c r="A3">
        <v>2024</v>
      </c>
      <c r="B3" t="s">
        <v>48</v>
      </c>
      <c r="C3">
        <v>337</v>
      </c>
      <c r="D3">
        <v>346</v>
      </c>
      <c r="E3" s="3">
        <f t="shared" si="0"/>
        <v>1.0267062314540059</v>
      </c>
      <c r="F3">
        <v>346</v>
      </c>
    </row>
    <row r="4" spans="1:8" x14ac:dyDescent="0.25">
      <c r="A4">
        <v>2024</v>
      </c>
      <c r="B4" t="s">
        <v>41</v>
      </c>
      <c r="C4">
        <v>156</v>
      </c>
      <c r="D4">
        <v>134</v>
      </c>
      <c r="E4" s="3">
        <f t="shared" si="0"/>
        <v>0.85897435897435892</v>
      </c>
      <c r="F4">
        <v>134</v>
      </c>
    </row>
    <row r="5" spans="1:8" x14ac:dyDescent="0.25">
      <c r="A5">
        <v>2024</v>
      </c>
      <c r="B5" t="s">
        <v>49</v>
      </c>
      <c r="C5">
        <v>172</v>
      </c>
      <c r="D5">
        <v>68</v>
      </c>
      <c r="E5" s="3">
        <f t="shared" si="0"/>
        <v>0.39534883720930231</v>
      </c>
      <c r="F5">
        <v>68</v>
      </c>
    </row>
    <row r="6" spans="1:8" x14ac:dyDescent="0.25">
      <c r="A6">
        <v>2024</v>
      </c>
      <c r="B6" t="s">
        <v>19</v>
      </c>
      <c r="C6">
        <v>1440</v>
      </c>
      <c r="D6">
        <v>1200</v>
      </c>
      <c r="E6" s="3">
        <f t="shared" si="0"/>
        <v>0.83333333333333337</v>
      </c>
      <c r="F6">
        <v>1200</v>
      </c>
    </row>
    <row r="7" spans="1:8" x14ac:dyDescent="0.25">
      <c r="A7">
        <v>2024</v>
      </c>
      <c r="B7" t="s">
        <v>38</v>
      </c>
      <c r="C7">
        <v>457</v>
      </c>
      <c r="D7">
        <v>286</v>
      </c>
      <c r="E7" s="3">
        <f t="shared" si="0"/>
        <v>0.62582056892778992</v>
      </c>
      <c r="F7">
        <v>50</v>
      </c>
      <c r="G7">
        <v>236</v>
      </c>
    </row>
    <row r="8" spans="1:8" x14ac:dyDescent="0.25">
      <c r="A8">
        <v>2024</v>
      </c>
      <c r="B8" t="s">
        <v>32</v>
      </c>
      <c r="C8">
        <v>622</v>
      </c>
      <c r="D8">
        <v>450</v>
      </c>
      <c r="E8" s="3">
        <f t="shared" si="0"/>
        <v>0.72347266881028938</v>
      </c>
      <c r="F8">
        <v>450</v>
      </c>
    </row>
    <row r="9" spans="1:8" x14ac:dyDescent="0.25">
      <c r="A9">
        <v>2024</v>
      </c>
      <c r="B9" t="s">
        <v>50</v>
      </c>
      <c r="C9">
        <v>1879</v>
      </c>
      <c r="D9">
        <v>1189</v>
      </c>
      <c r="E9" s="3">
        <f t="shared" si="0"/>
        <v>0.63278339542309736</v>
      </c>
      <c r="G9">
        <v>912</v>
      </c>
      <c r="H9">
        <v>277</v>
      </c>
    </row>
    <row r="10" spans="1:8" x14ac:dyDescent="0.25">
      <c r="A10">
        <v>2024</v>
      </c>
      <c r="B10" t="s">
        <v>15</v>
      </c>
      <c r="C10">
        <v>1447</v>
      </c>
      <c r="D10">
        <v>1150</v>
      </c>
      <c r="E10" s="3">
        <f t="shared" si="0"/>
        <v>0.79474775397373876</v>
      </c>
      <c r="F10">
        <v>1150</v>
      </c>
    </row>
    <row r="11" spans="1:8" x14ac:dyDescent="0.25">
      <c r="A11">
        <v>2024</v>
      </c>
      <c r="B11" t="s">
        <v>51</v>
      </c>
      <c r="C11">
        <v>261</v>
      </c>
      <c r="D11">
        <v>225</v>
      </c>
      <c r="E11" s="3">
        <f t="shared" si="0"/>
        <v>0.86206896551724133</v>
      </c>
      <c r="F11">
        <v>35</v>
      </c>
      <c r="G11">
        <v>106</v>
      </c>
      <c r="H11">
        <v>84</v>
      </c>
    </row>
    <row r="12" spans="1:8" x14ac:dyDescent="0.25">
      <c r="A12">
        <v>2024</v>
      </c>
      <c r="B12" t="s">
        <v>39</v>
      </c>
      <c r="C12">
        <v>435</v>
      </c>
      <c r="D12">
        <v>239</v>
      </c>
      <c r="E12" s="3">
        <f t="shared" si="0"/>
        <v>0.54942528735632179</v>
      </c>
      <c r="G12">
        <v>239</v>
      </c>
    </row>
    <row r="13" spans="1:8" x14ac:dyDescent="0.25">
      <c r="A13">
        <v>2024</v>
      </c>
      <c r="B13" t="s">
        <v>23</v>
      </c>
      <c r="C13">
        <v>1370</v>
      </c>
      <c r="D13">
        <v>710</v>
      </c>
      <c r="E13" s="3">
        <f t="shared" si="0"/>
        <v>0.51824817518248179</v>
      </c>
      <c r="G13">
        <v>347</v>
      </c>
      <c r="H13">
        <v>363</v>
      </c>
    </row>
    <row r="14" spans="1:8" x14ac:dyDescent="0.25">
      <c r="A14">
        <v>2024</v>
      </c>
      <c r="B14" t="s">
        <v>34</v>
      </c>
      <c r="C14">
        <v>793</v>
      </c>
      <c r="D14">
        <v>576</v>
      </c>
      <c r="E14" s="3">
        <f t="shared" si="0"/>
        <v>0.7263556116015133</v>
      </c>
      <c r="G14">
        <v>351</v>
      </c>
      <c r="H14">
        <v>225</v>
      </c>
    </row>
    <row r="15" spans="1:8" x14ac:dyDescent="0.25">
      <c r="A15">
        <v>2024</v>
      </c>
      <c r="B15" t="s">
        <v>40</v>
      </c>
      <c r="C15">
        <v>354</v>
      </c>
      <c r="D15">
        <v>280</v>
      </c>
      <c r="E15" s="3">
        <f t="shared" si="0"/>
        <v>0.79096045197740117</v>
      </c>
      <c r="F15">
        <v>140</v>
      </c>
      <c r="G15">
        <v>140</v>
      </c>
    </row>
    <row r="16" spans="1:8" x14ac:dyDescent="0.25">
      <c r="A16">
        <v>2024</v>
      </c>
      <c r="B16" t="s">
        <v>20</v>
      </c>
      <c r="C16">
        <v>1595</v>
      </c>
      <c r="D16">
        <v>905</v>
      </c>
      <c r="E16" s="3">
        <f t="shared" si="0"/>
        <v>0.56739811912225702</v>
      </c>
      <c r="G16">
        <v>340</v>
      </c>
      <c r="H16">
        <v>565</v>
      </c>
    </row>
    <row r="17" spans="1:8" x14ac:dyDescent="0.25">
      <c r="A17">
        <v>2024</v>
      </c>
      <c r="B17" t="s">
        <v>16</v>
      </c>
      <c r="C17">
        <v>1438</v>
      </c>
      <c r="D17">
        <v>1173</v>
      </c>
      <c r="E17" s="3">
        <f t="shared" si="0"/>
        <v>0.81571627260083446</v>
      </c>
      <c r="G17">
        <v>745</v>
      </c>
      <c r="H17">
        <v>428</v>
      </c>
    </row>
    <row r="18" spans="1:8" x14ac:dyDescent="0.25">
      <c r="A18">
        <v>2024</v>
      </c>
      <c r="B18" t="s">
        <v>3</v>
      </c>
      <c r="C18">
        <v>2012</v>
      </c>
      <c r="D18">
        <v>1698</v>
      </c>
      <c r="E18" s="3">
        <f t="shared" si="0"/>
        <v>0.8439363817097415</v>
      </c>
      <c r="F18">
        <v>1188</v>
      </c>
      <c r="G18">
        <v>352</v>
      </c>
      <c r="H18">
        <v>158</v>
      </c>
    </row>
    <row r="19" spans="1:8" x14ac:dyDescent="0.25">
      <c r="A19">
        <v>2024</v>
      </c>
      <c r="B19" t="s">
        <v>17</v>
      </c>
      <c r="C19">
        <v>1390</v>
      </c>
      <c r="D19">
        <v>1051</v>
      </c>
      <c r="E19" s="3">
        <f t="shared" si="0"/>
        <v>0.75611510791366909</v>
      </c>
      <c r="F19">
        <v>1051</v>
      </c>
    </row>
    <row r="20" spans="1:8" x14ac:dyDescent="0.25">
      <c r="A20">
        <v>2024</v>
      </c>
      <c r="B20" t="s">
        <v>22</v>
      </c>
      <c r="C20">
        <v>1366</v>
      </c>
      <c r="D20">
        <v>904</v>
      </c>
      <c r="E20" s="3">
        <f t="shared" si="0"/>
        <v>0.66178623718887264</v>
      </c>
      <c r="G20">
        <v>709</v>
      </c>
      <c r="H20">
        <v>195</v>
      </c>
    </row>
    <row r="21" spans="1:8" x14ac:dyDescent="0.25">
      <c r="A21">
        <v>2024</v>
      </c>
      <c r="B21" t="s">
        <v>37</v>
      </c>
      <c r="C21">
        <v>612</v>
      </c>
      <c r="D21">
        <v>637</v>
      </c>
      <c r="E21" s="3">
        <f t="shared" si="0"/>
        <v>1.0408496732026145</v>
      </c>
      <c r="G21">
        <v>299</v>
      </c>
      <c r="H21">
        <v>338</v>
      </c>
    </row>
    <row r="22" spans="1:8" x14ac:dyDescent="0.25">
      <c r="A22">
        <v>2024</v>
      </c>
      <c r="B22" t="s">
        <v>14</v>
      </c>
      <c r="C22">
        <v>1885</v>
      </c>
      <c r="D22">
        <v>1410</v>
      </c>
      <c r="E22" s="3">
        <f t="shared" si="0"/>
        <v>0.74801061007957559</v>
      </c>
      <c r="G22">
        <v>764</v>
      </c>
      <c r="H22">
        <v>646</v>
      </c>
    </row>
    <row r="23" spans="1:8" x14ac:dyDescent="0.25">
      <c r="A23">
        <v>2024</v>
      </c>
      <c r="B23" t="s">
        <v>18</v>
      </c>
      <c r="C23">
        <v>1742</v>
      </c>
      <c r="D23">
        <v>744</v>
      </c>
      <c r="E23" s="3">
        <f t="shared" si="0"/>
        <v>0.42709529276693453</v>
      </c>
      <c r="F23">
        <v>744</v>
      </c>
    </row>
    <row r="24" spans="1:8" x14ac:dyDescent="0.25">
      <c r="A24">
        <v>2024</v>
      </c>
      <c r="B24" t="s">
        <v>52</v>
      </c>
      <c r="C24">
        <v>1642</v>
      </c>
      <c r="D24">
        <v>250</v>
      </c>
      <c r="E24" s="3">
        <f t="shared" si="0"/>
        <v>0.15225334957369063</v>
      </c>
      <c r="G24">
        <v>250</v>
      </c>
    </row>
    <row r="25" spans="1:8" x14ac:dyDescent="0.25">
      <c r="A25">
        <v>2024</v>
      </c>
      <c r="B25" t="s">
        <v>11</v>
      </c>
      <c r="C25">
        <v>1867</v>
      </c>
      <c r="D25">
        <v>500</v>
      </c>
      <c r="E25" s="3">
        <f t="shared" si="0"/>
        <v>0.26780931976432781</v>
      </c>
      <c r="F25">
        <v>200</v>
      </c>
      <c r="G25">
        <v>300</v>
      </c>
    </row>
    <row r="26" spans="1:8" x14ac:dyDescent="0.25">
      <c r="A26">
        <v>2024</v>
      </c>
      <c r="B26" t="s">
        <v>30</v>
      </c>
      <c r="C26">
        <v>842</v>
      </c>
      <c r="D26">
        <v>290</v>
      </c>
      <c r="E26" s="3">
        <f t="shared" si="0"/>
        <v>0.34441805225653205</v>
      </c>
      <c r="F26">
        <v>290</v>
      </c>
    </row>
    <row r="27" spans="1:8" x14ac:dyDescent="0.25">
      <c r="A27">
        <v>2024</v>
      </c>
      <c r="B27" t="s">
        <v>26</v>
      </c>
      <c r="C27">
        <v>1203</v>
      </c>
      <c r="D27">
        <v>604</v>
      </c>
      <c r="E27" s="3">
        <f t="shared" si="0"/>
        <v>0.50207813798836243</v>
      </c>
      <c r="G27">
        <v>414</v>
      </c>
      <c r="H27">
        <v>190</v>
      </c>
    </row>
    <row r="28" spans="1:8" x14ac:dyDescent="0.25">
      <c r="A28">
        <v>2024</v>
      </c>
      <c r="B28" t="s">
        <v>2</v>
      </c>
      <c r="C28">
        <v>2798</v>
      </c>
      <c r="D28">
        <v>1891</v>
      </c>
      <c r="E28" s="3">
        <f t="shared" si="0"/>
        <v>0.67583988563259467</v>
      </c>
      <c r="G28">
        <v>1526</v>
      </c>
      <c r="H28">
        <v>365</v>
      </c>
    </row>
    <row r="29" spans="1:8" x14ac:dyDescent="0.25">
      <c r="A29">
        <v>2024</v>
      </c>
      <c r="B29" t="s">
        <v>29</v>
      </c>
      <c r="C29">
        <v>996</v>
      </c>
      <c r="D29">
        <v>587</v>
      </c>
      <c r="E29" s="3">
        <f t="shared" si="0"/>
        <v>0.5893574297188755</v>
      </c>
      <c r="G29">
        <v>366</v>
      </c>
      <c r="H29">
        <v>221</v>
      </c>
    </row>
    <row r="30" spans="1:8" x14ac:dyDescent="0.25">
      <c r="A30">
        <v>2024</v>
      </c>
      <c r="B30" t="s">
        <v>24</v>
      </c>
      <c r="C30">
        <v>1261</v>
      </c>
      <c r="D30">
        <v>956</v>
      </c>
      <c r="E30" s="3">
        <f t="shared" si="0"/>
        <v>0.75812846946867563</v>
      </c>
      <c r="G30">
        <v>546</v>
      </c>
      <c r="H30">
        <v>410</v>
      </c>
    </row>
    <row r="31" spans="1:8" x14ac:dyDescent="0.25">
      <c r="A31">
        <v>2024</v>
      </c>
      <c r="B31" t="s">
        <v>27</v>
      </c>
      <c r="C31">
        <v>813</v>
      </c>
      <c r="D31">
        <v>789</v>
      </c>
      <c r="E31" s="3">
        <f t="shared" si="0"/>
        <v>0.97047970479704793</v>
      </c>
      <c r="F31">
        <v>789</v>
      </c>
    </row>
    <row r="32" spans="1:8" x14ac:dyDescent="0.25">
      <c r="A32">
        <v>2024</v>
      </c>
      <c r="B32" t="s">
        <v>7</v>
      </c>
      <c r="C32">
        <v>2056</v>
      </c>
      <c r="D32">
        <v>1008</v>
      </c>
      <c r="E32" s="3">
        <f t="shared" si="0"/>
        <v>0.49027237354085601</v>
      </c>
      <c r="G32">
        <v>493</v>
      </c>
      <c r="H32">
        <v>515</v>
      </c>
    </row>
    <row r="33" spans="1:8" x14ac:dyDescent="0.25">
      <c r="A33">
        <v>2024</v>
      </c>
      <c r="B33" t="s">
        <v>12</v>
      </c>
      <c r="C33">
        <v>1944</v>
      </c>
      <c r="D33">
        <v>1160</v>
      </c>
      <c r="E33" s="3">
        <f t="shared" si="0"/>
        <v>0.5967078189300411</v>
      </c>
      <c r="G33">
        <v>600</v>
      </c>
      <c r="H33">
        <v>560</v>
      </c>
    </row>
    <row r="34" spans="1:8" x14ac:dyDescent="0.25">
      <c r="A34">
        <v>2024</v>
      </c>
      <c r="B34" t="s">
        <v>21</v>
      </c>
      <c r="C34">
        <v>1487</v>
      </c>
      <c r="D34">
        <v>545</v>
      </c>
      <c r="E34" s="3">
        <f t="shared" si="0"/>
        <v>0.36650975117686618</v>
      </c>
      <c r="F34">
        <v>545</v>
      </c>
    </row>
    <row r="35" spans="1:8" x14ac:dyDescent="0.25">
      <c r="A35">
        <v>2024</v>
      </c>
      <c r="B35" t="s">
        <v>28</v>
      </c>
      <c r="C35">
        <v>1149</v>
      </c>
      <c r="D35">
        <v>716</v>
      </c>
      <c r="E35" s="3">
        <f t="shared" si="0"/>
        <v>0.62315056570931249</v>
      </c>
      <c r="G35">
        <v>716</v>
      </c>
    </row>
    <row r="36" spans="1:8" x14ac:dyDescent="0.25">
      <c r="A36">
        <v>2024</v>
      </c>
      <c r="B36" t="s">
        <v>35</v>
      </c>
      <c r="C36">
        <v>661</v>
      </c>
      <c r="D36">
        <v>549</v>
      </c>
      <c r="E36" s="3">
        <f t="shared" si="0"/>
        <v>0.83055975794251136</v>
      </c>
      <c r="F36">
        <v>549</v>
      </c>
    </row>
    <row r="37" spans="1:8" x14ac:dyDescent="0.25">
      <c r="A37">
        <v>2024</v>
      </c>
      <c r="B37" t="s">
        <v>8</v>
      </c>
      <c r="C37">
        <v>2028</v>
      </c>
      <c r="D37">
        <v>593</v>
      </c>
      <c r="E37" s="3">
        <f t="shared" si="0"/>
        <v>0.29240631163708086</v>
      </c>
      <c r="G37">
        <v>190</v>
      </c>
      <c r="H37">
        <v>403</v>
      </c>
    </row>
    <row r="38" spans="1:8" x14ac:dyDescent="0.25">
      <c r="A38">
        <v>2024</v>
      </c>
      <c r="B38" t="s">
        <v>25</v>
      </c>
      <c r="C38">
        <v>1299</v>
      </c>
      <c r="D38">
        <v>350</v>
      </c>
      <c r="E38" s="3">
        <f t="shared" si="0"/>
        <v>0.26943802925327176</v>
      </c>
      <c r="H38">
        <v>350</v>
      </c>
    </row>
    <row r="39" spans="1:8" x14ac:dyDescent="0.25">
      <c r="A39">
        <v>2024</v>
      </c>
      <c r="B39" t="s">
        <v>4</v>
      </c>
      <c r="C39">
        <v>2387</v>
      </c>
      <c r="D39">
        <v>1159</v>
      </c>
      <c r="E39" s="3">
        <f t="shared" si="0"/>
        <v>0.48554671135316296</v>
      </c>
      <c r="G39">
        <v>518</v>
      </c>
      <c r="H39">
        <v>641</v>
      </c>
    </row>
    <row r="40" spans="1:8" x14ac:dyDescent="0.25">
      <c r="A40">
        <v>2024</v>
      </c>
      <c r="B40" t="s">
        <v>9</v>
      </c>
      <c r="C40">
        <v>2048</v>
      </c>
      <c r="D40">
        <v>979</v>
      </c>
      <c r="E40" s="3">
        <f t="shared" si="0"/>
        <v>0.47802734375</v>
      </c>
      <c r="F40">
        <v>759</v>
      </c>
      <c r="G40">
        <v>220</v>
      </c>
    </row>
    <row r="41" spans="1:8" x14ac:dyDescent="0.25">
      <c r="A41">
        <v>2024</v>
      </c>
      <c r="B41" t="s">
        <v>31</v>
      </c>
      <c r="C41">
        <v>953</v>
      </c>
      <c r="D41">
        <v>697</v>
      </c>
      <c r="E41" s="3">
        <f t="shared" si="0"/>
        <v>0.73137460650577124</v>
      </c>
      <c r="F41">
        <v>533</v>
      </c>
      <c r="G41">
        <v>164</v>
      </c>
    </row>
    <row r="42" spans="1:8" x14ac:dyDescent="0.25">
      <c r="A42">
        <v>2024</v>
      </c>
      <c r="B42" t="s">
        <v>1</v>
      </c>
      <c r="C42">
        <v>3478</v>
      </c>
      <c r="D42">
        <v>1896</v>
      </c>
      <c r="E42" s="3">
        <f t="shared" si="0"/>
        <v>0.54514088556641749</v>
      </c>
      <c r="F42">
        <v>780</v>
      </c>
      <c r="G42">
        <v>1116</v>
      </c>
    </row>
    <row r="43" spans="1:8" x14ac:dyDescent="0.25">
      <c r="A43">
        <v>2024</v>
      </c>
      <c r="B43" t="s">
        <v>10</v>
      </c>
      <c r="C43">
        <v>1782</v>
      </c>
      <c r="D43">
        <v>1421</v>
      </c>
      <c r="E43" s="3">
        <f t="shared" si="0"/>
        <v>0.79741863075196406</v>
      </c>
      <c r="F43">
        <v>1254</v>
      </c>
      <c r="H43">
        <v>167</v>
      </c>
    </row>
    <row r="44" spans="1:8" x14ac:dyDescent="0.25">
      <c r="A44">
        <v>2024</v>
      </c>
      <c r="B44" t="s">
        <v>13</v>
      </c>
      <c r="C44">
        <v>1938</v>
      </c>
      <c r="D44">
        <v>1361</v>
      </c>
      <c r="E44" s="3">
        <f t="shared" si="0"/>
        <v>0.70227038183694535</v>
      </c>
      <c r="F44">
        <v>891</v>
      </c>
      <c r="G44">
        <v>470</v>
      </c>
    </row>
    <row r="45" spans="1:8" x14ac:dyDescent="0.25">
      <c r="A45">
        <v>2024</v>
      </c>
      <c r="B45" t="s">
        <v>5</v>
      </c>
      <c r="C45">
        <v>2372</v>
      </c>
      <c r="D45">
        <v>900</v>
      </c>
      <c r="E45" s="3">
        <f t="shared" si="0"/>
        <v>0.37942664418212479</v>
      </c>
      <c r="G45">
        <v>900</v>
      </c>
    </row>
    <row r="46" spans="1:8" x14ac:dyDescent="0.25">
      <c r="A46">
        <v>2024</v>
      </c>
      <c r="B46" t="s">
        <v>33</v>
      </c>
      <c r="C46">
        <v>799</v>
      </c>
      <c r="D46">
        <v>426</v>
      </c>
      <c r="E46" s="3">
        <f t="shared" si="0"/>
        <v>0.53316645807259078</v>
      </c>
      <c r="F46">
        <v>200</v>
      </c>
      <c r="G46">
        <v>226</v>
      </c>
    </row>
    <row r="47" spans="1:8" x14ac:dyDescent="0.25">
      <c r="A47">
        <v>2024</v>
      </c>
      <c r="B47" t="s">
        <v>53</v>
      </c>
      <c r="C47">
        <v>2704</v>
      </c>
      <c r="D47">
        <v>1920</v>
      </c>
      <c r="E47" s="3">
        <f t="shared" si="0"/>
        <v>0.7100591715976331</v>
      </c>
      <c r="F47">
        <v>1545</v>
      </c>
      <c r="G47">
        <v>375</v>
      </c>
    </row>
    <row r="48" spans="1:8" x14ac:dyDescent="0.25">
      <c r="A48">
        <v>2024</v>
      </c>
      <c r="B48" t="s">
        <v>6</v>
      </c>
      <c r="C48">
        <v>1805</v>
      </c>
      <c r="D48">
        <v>1330</v>
      </c>
      <c r="E48" s="3">
        <f t="shared" si="0"/>
        <v>0.73684210526315785</v>
      </c>
      <c r="F48">
        <v>1330</v>
      </c>
    </row>
    <row r="49" spans="1:8" x14ac:dyDescent="0.25">
      <c r="A49">
        <v>2024</v>
      </c>
      <c r="B49" t="s">
        <v>54</v>
      </c>
      <c r="C49">
        <v>348</v>
      </c>
      <c r="D49">
        <v>328</v>
      </c>
      <c r="E49" s="3">
        <f t="shared" si="0"/>
        <v>0.94252873563218387</v>
      </c>
      <c r="F49">
        <v>328</v>
      </c>
    </row>
    <row r="50" spans="1:8" x14ac:dyDescent="0.25">
      <c r="A50">
        <v>2024</v>
      </c>
      <c r="B50" t="s">
        <v>55</v>
      </c>
      <c r="C50">
        <v>717</v>
      </c>
      <c r="D50">
        <v>460</v>
      </c>
      <c r="E50" s="3">
        <f t="shared" si="0"/>
        <v>0.64156206415620642</v>
      </c>
      <c r="F50">
        <v>100</v>
      </c>
      <c r="G50">
        <v>360</v>
      </c>
    </row>
    <row r="51" spans="1:8" x14ac:dyDescent="0.25">
      <c r="A51">
        <v>2024</v>
      </c>
      <c r="B51" t="s">
        <v>56</v>
      </c>
      <c r="C51">
        <v>427</v>
      </c>
      <c r="D51">
        <v>460</v>
      </c>
      <c r="E51" s="3">
        <f t="shared" si="0"/>
        <v>1.0772833723653397</v>
      </c>
      <c r="F51">
        <v>460</v>
      </c>
    </row>
    <row r="52" spans="1:8" x14ac:dyDescent="0.25">
      <c r="A52">
        <v>2024</v>
      </c>
      <c r="B52" t="s">
        <v>57</v>
      </c>
      <c r="C52">
        <v>654</v>
      </c>
      <c r="D52">
        <v>488</v>
      </c>
      <c r="E52" s="3">
        <f t="shared" si="0"/>
        <v>0.74617737003058104</v>
      </c>
      <c r="G52">
        <v>315</v>
      </c>
      <c r="H52">
        <v>173</v>
      </c>
    </row>
    <row r="53" spans="1:8" x14ac:dyDescent="0.25">
      <c r="A53">
        <v>2024</v>
      </c>
      <c r="B53" t="s">
        <v>58</v>
      </c>
      <c r="C53">
        <v>861</v>
      </c>
      <c r="D53">
        <v>799</v>
      </c>
      <c r="E53" s="3">
        <f t="shared" si="0"/>
        <v>0.92799070847851339</v>
      </c>
      <c r="F53">
        <v>799</v>
      </c>
    </row>
    <row r="54" spans="1:8" x14ac:dyDescent="0.25">
      <c r="A54">
        <v>2024</v>
      </c>
      <c r="B54" t="s">
        <v>59</v>
      </c>
      <c r="C54">
        <v>517</v>
      </c>
      <c r="D54">
        <v>446</v>
      </c>
      <c r="E54" s="3">
        <f t="shared" si="0"/>
        <v>0.8626692456479691</v>
      </c>
      <c r="G54">
        <v>231</v>
      </c>
      <c r="H54">
        <v>215</v>
      </c>
    </row>
    <row r="55" spans="1:8" x14ac:dyDescent="0.25">
      <c r="A55">
        <v>2024</v>
      </c>
      <c r="B55" t="s">
        <v>60</v>
      </c>
      <c r="C55">
        <v>608</v>
      </c>
      <c r="D55">
        <v>544</v>
      </c>
      <c r="E55" s="3">
        <f t="shared" si="0"/>
        <v>0.89473684210526316</v>
      </c>
      <c r="F55">
        <v>544</v>
      </c>
    </row>
    <row r="56" spans="1:8" x14ac:dyDescent="0.25">
      <c r="A56">
        <v>2024</v>
      </c>
      <c r="B56" t="s">
        <v>61</v>
      </c>
      <c r="C56">
        <v>1740</v>
      </c>
      <c r="D56">
        <v>1246</v>
      </c>
      <c r="E56" s="3">
        <f t="shared" si="0"/>
        <v>0.71609195402298853</v>
      </c>
      <c r="F56">
        <v>280</v>
      </c>
      <c r="G56">
        <v>516</v>
      </c>
      <c r="H56">
        <v>450</v>
      </c>
    </row>
    <row r="57" spans="1:8" x14ac:dyDescent="0.25">
      <c r="A57">
        <v>2024</v>
      </c>
      <c r="B57" t="s">
        <v>62</v>
      </c>
      <c r="C57">
        <v>110</v>
      </c>
      <c r="D57">
        <v>17</v>
      </c>
      <c r="E57" s="3">
        <f t="shared" si="0"/>
        <v>0.15454545454545454</v>
      </c>
      <c r="F57">
        <v>17</v>
      </c>
    </row>
    <row r="58" spans="1:8" x14ac:dyDescent="0.25">
      <c r="A58">
        <v>2024</v>
      </c>
      <c r="B58" t="s">
        <v>63</v>
      </c>
      <c r="C58">
        <v>552</v>
      </c>
      <c r="D58">
        <v>510</v>
      </c>
      <c r="E58" s="3">
        <f t="shared" si="0"/>
        <v>0.92391304347826086</v>
      </c>
      <c r="F58">
        <v>510</v>
      </c>
    </row>
    <row r="59" spans="1:8" x14ac:dyDescent="0.25">
      <c r="A59">
        <v>2024</v>
      </c>
      <c r="B59" t="s">
        <v>64</v>
      </c>
      <c r="C59">
        <v>2134</v>
      </c>
      <c r="D59">
        <v>1392</v>
      </c>
      <c r="E59" s="3">
        <f t="shared" si="0"/>
        <v>0.65229615745079661</v>
      </c>
      <c r="F59">
        <v>591</v>
      </c>
      <c r="G59">
        <v>783</v>
      </c>
      <c r="H59">
        <v>18</v>
      </c>
    </row>
    <row r="60" spans="1:8" x14ac:dyDescent="0.25">
      <c r="A60">
        <v>2024</v>
      </c>
      <c r="B60" t="s">
        <v>65</v>
      </c>
      <c r="C60">
        <v>1517</v>
      </c>
      <c r="D60">
        <v>1354</v>
      </c>
      <c r="E60" s="3">
        <f t="shared" si="0"/>
        <v>0.89255108767303892</v>
      </c>
      <c r="F60">
        <v>180</v>
      </c>
      <c r="G60">
        <v>605</v>
      </c>
      <c r="H60">
        <v>569</v>
      </c>
    </row>
    <row r="61" spans="1:8" x14ac:dyDescent="0.25">
      <c r="A61">
        <v>2024</v>
      </c>
      <c r="B61" t="s">
        <v>66</v>
      </c>
      <c r="C61">
        <v>696</v>
      </c>
      <c r="D61">
        <v>614</v>
      </c>
      <c r="E61" s="3">
        <f t="shared" si="0"/>
        <v>0.88218390804597702</v>
      </c>
      <c r="F61">
        <v>265</v>
      </c>
      <c r="G61">
        <v>206</v>
      </c>
      <c r="H61">
        <v>143</v>
      </c>
    </row>
    <row r="62" spans="1:8" x14ac:dyDescent="0.25">
      <c r="A62">
        <v>2024</v>
      </c>
      <c r="B62" t="s">
        <v>67</v>
      </c>
      <c r="C62">
        <v>2813</v>
      </c>
      <c r="D62">
        <v>1976</v>
      </c>
      <c r="E62" s="3">
        <f t="shared" si="0"/>
        <v>0.70245289726270888</v>
      </c>
      <c r="G62">
        <v>895</v>
      </c>
      <c r="H62">
        <v>1081</v>
      </c>
    </row>
    <row r="63" spans="1:8" x14ac:dyDescent="0.25">
      <c r="A63">
        <v>2024</v>
      </c>
      <c r="B63" t="s">
        <v>68</v>
      </c>
      <c r="C63">
        <v>960</v>
      </c>
      <c r="D63">
        <v>883</v>
      </c>
      <c r="E63" s="3">
        <f t="shared" si="0"/>
        <v>0.91979166666666667</v>
      </c>
      <c r="G63">
        <v>486</v>
      </c>
      <c r="H63">
        <v>397</v>
      </c>
    </row>
    <row r="64" spans="1:8" x14ac:dyDescent="0.25">
      <c r="A64">
        <v>2024</v>
      </c>
      <c r="B64" t="s">
        <v>69</v>
      </c>
      <c r="C64">
        <v>1052</v>
      </c>
      <c r="D64">
        <v>566</v>
      </c>
      <c r="E64" s="3">
        <f t="shared" si="0"/>
        <v>0.53802281368821292</v>
      </c>
      <c r="G64">
        <v>416</v>
      </c>
      <c r="H64">
        <v>150</v>
      </c>
    </row>
    <row r="65" spans="1:8" x14ac:dyDescent="0.25">
      <c r="A65">
        <v>2024</v>
      </c>
      <c r="B65" t="s">
        <v>70</v>
      </c>
      <c r="C65">
        <v>1013</v>
      </c>
      <c r="D65">
        <v>659</v>
      </c>
      <c r="E65" s="3">
        <f t="shared" si="0"/>
        <v>0.65054294175715699</v>
      </c>
      <c r="F65">
        <v>125</v>
      </c>
      <c r="G65">
        <v>418</v>
      </c>
      <c r="H65">
        <v>116</v>
      </c>
    </row>
    <row r="66" spans="1:8" x14ac:dyDescent="0.25">
      <c r="A66">
        <v>2024</v>
      </c>
      <c r="B66" t="s">
        <v>71</v>
      </c>
      <c r="C66">
        <v>550</v>
      </c>
      <c r="D66">
        <v>393</v>
      </c>
      <c r="E66" s="3">
        <f t="shared" ref="E66:E69" si="1">D66/C66</f>
        <v>0.71454545454545459</v>
      </c>
      <c r="F66">
        <v>393</v>
      </c>
    </row>
    <row r="67" spans="1:8" x14ac:dyDescent="0.25">
      <c r="A67">
        <v>2024</v>
      </c>
      <c r="B67" t="s">
        <v>72</v>
      </c>
      <c r="C67">
        <v>505</v>
      </c>
      <c r="D67">
        <v>510</v>
      </c>
      <c r="E67" s="3">
        <f t="shared" si="1"/>
        <v>1.0099009900990099</v>
      </c>
      <c r="F67">
        <v>510</v>
      </c>
    </row>
    <row r="68" spans="1:8" x14ac:dyDescent="0.25">
      <c r="A68">
        <v>2024</v>
      </c>
      <c r="B68" t="s">
        <v>73</v>
      </c>
      <c r="C68">
        <v>826</v>
      </c>
      <c r="D68">
        <v>728</v>
      </c>
      <c r="E68" s="3">
        <f t="shared" si="1"/>
        <v>0.88135593220338981</v>
      </c>
      <c r="F68">
        <v>677</v>
      </c>
      <c r="G68">
        <v>51</v>
      </c>
    </row>
    <row r="69" spans="1:8" x14ac:dyDescent="0.25">
      <c r="A69">
        <v>2024</v>
      </c>
      <c r="B69" t="s">
        <v>44</v>
      </c>
      <c r="C69">
        <f>SUM(C2:C68)</f>
        <v>83204</v>
      </c>
      <c r="D69">
        <v>53000</v>
      </c>
      <c r="E69" s="3">
        <f t="shared" si="1"/>
        <v>0.63698860631700394</v>
      </c>
      <c r="F69">
        <v>22000</v>
      </c>
      <c r="G69">
        <v>20483</v>
      </c>
      <c r="H69">
        <v>10517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9B8F-72D0-44E7-B4B4-A98B1765D342}">
  <dimension ref="A1:F3"/>
  <sheetViews>
    <sheetView workbookViewId="0">
      <selection activeCell="F3" sqref="F3"/>
    </sheetView>
  </sheetViews>
  <sheetFormatPr baseColWidth="10" defaultRowHeight="15" x14ac:dyDescent="0.25"/>
  <cols>
    <col min="2" max="2" width="19.28515625" customWidth="1"/>
    <col min="4" max="4" width="13" bestFit="1" customWidth="1"/>
    <col min="5" max="5" width="14.5703125" customWidth="1"/>
    <col min="6" max="6" width="16.7109375" bestFit="1" customWidth="1"/>
    <col min="8" max="8" width="15.5703125" customWidth="1"/>
  </cols>
  <sheetData>
    <row r="1" spans="1:6" x14ac:dyDescent="0.25">
      <c r="A1" s="5" t="s">
        <v>75</v>
      </c>
      <c r="B1" s="5" t="s">
        <v>76</v>
      </c>
      <c r="C1" s="5" t="s">
        <v>77</v>
      </c>
      <c r="D1" s="5" t="s">
        <v>43</v>
      </c>
      <c r="E1" s="5" t="s">
        <v>83</v>
      </c>
      <c r="F1" s="5" t="s">
        <v>84</v>
      </c>
    </row>
    <row r="2" spans="1:6" x14ac:dyDescent="0.25">
      <c r="A2" s="4">
        <v>2024</v>
      </c>
      <c r="B2" s="6">
        <v>46085052000</v>
      </c>
      <c r="C2" s="8"/>
      <c r="D2" s="4">
        <v>53000</v>
      </c>
      <c r="E2" s="2">
        <v>83204</v>
      </c>
      <c r="F2" s="3">
        <v>0.64</v>
      </c>
    </row>
    <row r="3" spans="1:6" x14ac:dyDescent="0.25">
      <c r="A3" s="4">
        <v>2025</v>
      </c>
      <c r="B3" s="6">
        <v>50670034387</v>
      </c>
      <c r="C3" s="7">
        <f>(B3-B2)/B2</f>
        <v>9.9489578247627886E-2</v>
      </c>
      <c r="D3" s="4">
        <v>50462</v>
      </c>
      <c r="E3" s="2">
        <v>75667</v>
      </c>
      <c r="F3" s="3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5290-51EB-48EF-B36D-2E46F41562D8}">
  <dimension ref="A1:D7"/>
  <sheetViews>
    <sheetView workbookViewId="0">
      <selection activeCell="E7" sqref="E7"/>
    </sheetView>
  </sheetViews>
  <sheetFormatPr baseColWidth="10" defaultRowHeight="15" x14ac:dyDescent="0.25"/>
  <cols>
    <col min="1" max="1" width="5" bestFit="1" customWidth="1"/>
    <col min="4" max="4" width="11.42578125" style="3"/>
  </cols>
  <sheetData>
    <row r="1" spans="1:4" x14ac:dyDescent="0.25">
      <c r="A1" s="9" t="s">
        <v>75</v>
      </c>
      <c r="B1" s="9" t="s">
        <v>85</v>
      </c>
      <c r="C1" s="9" t="s">
        <v>88</v>
      </c>
      <c r="D1" s="14" t="s">
        <v>90</v>
      </c>
    </row>
    <row r="2" spans="1:4" x14ac:dyDescent="0.25">
      <c r="A2">
        <v>2024</v>
      </c>
      <c r="B2" t="s">
        <v>86</v>
      </c>
      <c r="C2">
        <v>25993</v>
      </c>
      <c r="D2" s="3">
        <v>0.49</v>
      </c>
    </row>
    <row r="3" spans="1:4" x14ac:dyDescent="0.25">
      <c r="A3">
        <v>2024</v>
      </c>
      <c r="B3" t="s">
        <v>87</v>
      </c>
      <c r="C3">
        <v>27007</v>
      </c>
      <c r="D3" s="3">
        <v>0.51</v>
      </c>
    </row>
    <row r="4" spans="1:4" x14ac:dyDescent="0.25">
      <c r="A4">
        <v>2024</v>
      </c>
      <c r="B4" t="s">
        <v>89</v>
      </c>
      <c r="C4">
        <v>53000</v>
      </c>
      <c r="D4" s="3">
        <v>1</v>
      </c>
    </row>
    <row r="5" spans="1:4" x14ac:dyDescent="0.25">
      <c r="A5">
        <v>2025</v>
      </c>
      <c r="B5" t="s">
        <v>86</v>
      </c>
      <c r="C5">
        <v>27590</v>
      </c>
      <c r="D5" s="3">
        <v>0.49</v>
      </c>
    </row>
    <row r="6" spans="1:4" x14ac:dyDescent="0.25">
      <c r="A6">
        <v>2025</v>
      </c>
      <c r="B6" t="s">
        <v>87</v>
      </c>
      <c r="C6">
        <v>28410</v>
      </c>
      <c r="D6" s="3">
        <v>0.51</v>
      </c>
    </row>
    <row r="7" spans="1:4" x14ac:dyDescent="0.25">
      <c r="A7">
        <v>2025</v>
      </c>
      <c r="B7" t="s">
        <v>89</v>
      </c>
      <c r="C7">
        <v>56000</v>
      </c>
      <c r="D7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B1E8-D5AD-4234-BB9A-79AB5D330326}">
  <dimension ref="A1:D29"/>
  <sheetViews>
    <sheetView tabSelected="1" workbookViewId="0">
      <selection activeCell="E9" sqref="E9"/>
    </sheetView>
  </sheetViews>
  <sheetFormatPr baseColWidth="10" defaultRowHeight="15" x14ac:dyDescent="0.25"/>
  <cols>
    <col min="3" max="3" width="12.5703125" bestFit="1" customWidth="1"/>
    <col min="4" max="4" width="4.5703125" bestFit="1" customWidth="1"/>
  </cols>
  <sheetData>
    <row r="1" spans="1:4" x14ac:dyDescent="0.25">
      <c r="A1" s="10" t="s">
        <v>75</v>
      </c>
      <c r="B1" s="10" t="s">
        <v>91</v>
      </c>
      <c r="C1" s="10" t="s">
        <v>92</v>
      </c>
      <c r="D1" s="10" t="s">
        <v>90</v>
      </c>
    </row>
    <row r="2" spans="1:4" x14ac:dyDescent="0.25">
      <c r="A2">
        <v>2024</v>
      </c>
      <c r="B2" s="1">
        <v>0</v>
      </c>
      <c r="C2">
        <v>5735</v>
      </c>
      <c r="D2">
        <v>11</v>
      </c>
    </row>
    <row r="3" spans="1:4" x14ac:dyDescent="0.25">
      <c r="A3">
        <v>2024</v>
      </c>
      <c r="B3" s="1">
        <v>1</v>
      </c>
      <c r="C3">
        <v>7041</v>
      </c>
      <c r="D3">
        <v>13</v>
      </c>
    </row>
    <row r="4" spans="1:4" x14ac:dyDescent="0.25">
      <c r="A4">
        <v>2024</v>
      </c>
      <c r="B4" s="1">
        <v>2</v>
      </c>
      <c r="C4">
        <v>6671</v>
      </c>
      <c r="D4">
        <v>13</v>
      </c>
    </row>
    <row r="5" spans="1:4" x14ac:dyDescent="0.25">
      <c r="A5">
        <v>2024</v>
      </c>
      <c r="B5" s="1">
        <v>3</v>
      </c>
      <c r="C5">
        <v>6435</v>
      </c>
      <c r="D5">
        <v>12</v>
      </c>
    </row>
    <row r="6" spans="1:4" x14ac:dyDescent="0.25">
      <c r="A6">
        <v>2024</v>
      </c>
      <c r="B6" s="1">
        <v>4</v>
      </c>
      <c r="C6">
        <v>5681</v>
      </c>
      <c r="D6">
        <v>11</v>
      </c>
    </row>
    <row r="7" spans="1:4" x14ac:dyDescent="0.25">
      <c r="A7">
        <v>2024</v>
      </c>
      <c r="B7" s="1">
        <v>5</v>
      </c>
      <c r="C7">
        <v>4985</v>
      </c>
      <c r="D7">
        <v>9</v>
      </c>
    </row>
    <row r="8" spans="1:4" x14ac:dyDescent="0.25">
      <c r="A8">
        <v>2024</v>
      </c>
      <c r="B8" s="1">
        <v>6</v>
      </c>
      <c r="C8">
        <v>5055</v>
      </c>
      <c r="D8">
        <v>10</v>
      </c>
    </row>
    <row r="9" spans="1:4" x14ac:dyDescent="0.25">
      <c r="A9">
        <v>2024</v>
      </c>
      <c r="B9" s="1">
        <v>7</v>
      </c>
      <c r="C9">
        <v>3408</v>
      </c>
      <c r="D9">
        <v>6</v>
      </c>
    </row>
    <row r="10" spans="1:4" x14ac:dyDescent="0.25">
      <c r="A10">
        <v>2024</v>
      </c>
      <c r="B10" s="1">
        <v>8</v>
      </c>
      <c r="C10">
        <v>2916</v>
      </c>
      <c r="D10">
        <v>6</v>
      </c>
    </row>
    <row r="11" spans="1:4" x14ac:dyDescent="0.25">
      <c r="A11">
        <v>2024</v>
      </c>
      <c r="B11" s="1">
        <v>9</v>
      </c>
      <c r="C11">
        <v>1797</v>
      </c>
      <c r="D11">
        <v>3</v>
      </c>
    </row>
    <row r="12" spans="1:4" x14ac:dyDescent="0.25">
      <c r="A12">
        <v>2024</v>
      </c>
      <c r="B12" s="1">
        <v>10</v>
      </c>
      <c r="C12">
        <v>1904</v>
      </c>
      <c r="D12">
        <v>4</v>
      </c>
    </row>
    <row r="13" spans="1:4" x14ac:dyDescent="0.25">
      <c r="A13">
        <v>2024</v>
      </c>
      <c r="B13" s="1">
        <v>11</v>
      </c>
      <c r="C13">
        <v>1372</v>
      </c>
      <c r="D13">
        <v>3</v>
      </c>
    </row>
    <row r="14" spans="1:4" x14ac:dyDescent="0.25">
      <c r="A14">
        <v>2024</v>
      </c>
      <c r="B14" s="10" t="s">
        <v>89</v>
      </c>
      <c r="C14" s="10">
        <f>SUM(C2:C13)</f>
        <v>53000</v>
      </c>
    </row>
    <row r="15" spans="1:4" x14ac:dyDescent="0.25">
      <c r="A15">
        <v>2025</v>
      </c>
      <c r="B15" s="1">
        <v>-2</v>
      </c>
      <c r="C15">
        <v>245</v>
      </c>
      <c r="D15">
        <v>0</v>
      </c>
    </row>
    <row r="16" spans="1:4" x14ac:dyDescent="0.25">
      <c r="A16">
        <v>2025</v>
      </c>
      <c r="B16" s="1">
        <v>-1</v>
      </c>
      <c r="C16">
        <v>1033</v>
      </c>
      <c r="D16">
        <v>2</v>
      </c>
    </row>
    <row r="17" spans="1:4" x14ac:dyDescent="0.25">
      <c r="A17">
        <v>2025</v>
      </c>
      <c r="B17" s="1">
        <v>0</v>
      </c>
      <c r="C17">
        <v>4965</v>
      </c>
      <c r="D17">
        <v>9</v>
      </c>
    </row>
    <row r="18" spans="1:4" x14ac:dyDescent="0.25">
      <c r="A18">
        <v>2025</v>
      </c>
      <c r="B18" s="1">
        <v>1</v>
      </c>
      <c r="C18">
        <v>6819</v>
      </c>
      <c r="D18">
        <v>12</v>
      </c>
    </row>
    <row r="19" spans="1:4" x14ac:dyDescent="0.25">
      <c r="A19">
        <v>2025</v>
      </c>
      <c r="B19" s="1">
        <v>2</v>
      </c>
      <c r="C19">
        <v>6199</v>
      </c>
      <c r="D19">
        <v>11</v>
      </c>
    </row>
    <row r="20" spans="1:4" x14ac:dyDescent="0.25">
      <c r="A20">
        <v>2025</v>
      </c>
      <c r="B20" s="1">
        <v>3</v>
      </c>
      <c r="C20">
        <v>6317</v>
      </c>
      <c r="D20">
        <v>11</v>
      </c>
    </row>
    <row r="21" spans="1:4" x14ac:dyDescent="0.25">
      <c r="A21">
        <v>2025</v>
      </c>
      <c r="B21" s="1">
        <v>4</v>
      </c>
      <c r="C21">
        <v>5956</v>
      </c>
      <c r="D21">
        <v>11</v>
      </c>
    </row>
    <row r="22" spans="1:4" x14ac:dyDescent="0.25">
      <c r="A22">
        <v>2025</v>
      </c>
      <c r="B22" s="1">
        <v>5</v>
      </c>
      <c r="C22">
        <v>5122</v>
      </c>
      <c r="D22">
        <v>9</v>
      </c>
    </row>
    <row r="23" spans="1:4" x14ac:dyDescent="0.25">
      <c r="A23">
        <v>2025</v>
      </c>
      <c r="B23" s="1">
        <v>6</v>
      </c>
      <c r="C23">
        <v>5269</v>
      </c>
      <c r="D23">
        <v>9</v>
      </c>
    </row>
    <row r="24" spans="1:4" x14ac:dyDescent="0.25">
      <c r="A24">
        <v>2025</v>
      </c>
      <c r="B24" s="1">
        <v>7</v>
      </c>
      <c r="C24">
        <v>3672</v>
      </c>
      <c r="D24">
        <v>7</v>
      </c>
    </row>
    <row r="25" spans="1:4" x14ac:dyDescent="0.25">
      <c r="A25">
        <v>2025</v>
      </c>
      <c r="B25" s="1">
        <v>8</v>
      </c>
      <c r="C25">
        <v>2772</v>
      </c>
      <c r="D25">
        <v>5</v>
      </c>
    </row>
    <row r="26" spans="1:4" x14ac:dyDescent="0.25">
      <c r="A26">
        <v>2025</v>
      </c>
      <c r="B26" s="1">
        <v>9</v>
      </c>
      <c r="C26">
        <v>2124</v>
      </c>
      <c r="D26">
        <v>4</v>
      </c>
    </row>
    <row r="27" spans="1:4" x14ac:dyDescent="0.25">
      <c r="A27">
        <v>2025</v>
      </c>
      <c r="B27" s="1">
        <v>10</v>
      </c>
      <c r="C27">
        <v>3129</v>
      </c>
      <c r="D27">
        <v>6</v>
      </c>
    </row>
    <row r="28" spans="1:4" x14ac:dyDescent="0.25">
      <c r="A28">
        <v>2025</v>
      </c>
      <c r="B28" s="1">
        <v>11</v>
      </c>
      <c r="C28">
        <v>2378</v>
      </c>
      <c r="D28">
        <v>4</v>
      </c>
    </row>
    <row r="29" spans="1:4" x14ac:dyDescent="0.25">
      <c r="A29">
        <v>2025</v>
      </c>
      <c r="B29" s="11" t="s">
        <v>93</v>
      </c>
      <c r="C29" s="12">
        <v>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%CoberturaxIED2025</vt:lpstr>
      <vt:lpstr>CoberturaxIED2024</vt:lpstr>
      <vt:lpstr>InversiónGeneral24-25</vt:lpstr>
      <vt:lpstr>Genero</vt:lpstr>
      <vt:lpstr>Accesoxgrado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yirleidis marquez cortes</dc:creator>
  <cp:lastModifiedBy>yirleidis marquez cortes</cp:lastModifiedBy>
  <dcterms:created xsi:type="dcterms:W3CDTF">2026-05-14T00:38:39Z</dcterms:created>
  <dcterms:modified xsi:type="dcterms:W3CDTF">2026-05-17T04:33:45Z</dcterms:modified>
</cp:coreProperties>
</file>